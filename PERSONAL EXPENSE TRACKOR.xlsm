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E:\30 Days Data Analytics\Projects\Personal Expense Trackor\"/>
    </mc:Choice>
  </mc:AlternateContent>
  <xr:revisionPtr revIDLastSave="0" documentId="13_ncr:1_{747B7185-AEE4-4A07-AD8C-502BDB979FEC}" xr6:coauthVersionLast="47" xr6:coauthVersionMax="47" xr10:uidLastSave="{00000000-0000-0000-0000-000000000000}"/>
  <bookViews>
    <workbookView xWindow="-120" yWindow="-120" windowWidth="20730" windowHeight="11040" xr2:uid="{7117A27D-8649-44A2-A419-DE8C96B15288}"/>
  </bookViews>
  <sheets>
    <sheet name="Dashboard" sheetId="1" r:id="rId1"/>
    <sheet name="Spending By Category" sheetId="3" r:id="rId2"/>
    <sheet name="Monthly Spending Trend" sheetId="4" r:id="rId3"/>
    <sheet name="PAYMENT METHOD" sheetId="12" r:id="rId4"/>
    <sheet name="MainData" sheetId="2" r:id="rId5"/>
    <sheet name="Values" sheetId="10" r:id="rId6"/>
  </sheets>
  <definedNames>
    <definedName name="_xlcn.WorksheetConnection_Book1ExpenseTable" hidden="1">ExpenseTable[]</definedName>
    <definedName name="_xleta.COUNT" hidden="1" xlm="1">#NAME?</definedName>
    <definedName name="_xleta.COUNTA" hidden="1" xlm="1">#NAME?</definedName>
    <definedName name="_xleta.NOW" hidden="1" xlm="1">#NAME?</definedName>
    <definedName name="_xleta.SUMIF" hidden="1" xlm="1">#NAME?</definedName>
    <definedName name="Slicer_Category">#N/A</definedName>
    <definedName name="Slicer_Payment_Mode">#N/A</definedName>
    <definedName name="Slicer_Type">#N/A</definedName>
  </definedNames>
  <calcPr calcId="191029"/>
  <pivotCaches>
    <pivotCache cacheId="33" r:id="rId7"/>
    <pivotCache cacheId="36" r:id="rId8"/>
    <pivotCache cacheId="39" r:id="rId9"/>
  </pivotCaches>
  <extLst>
    <ext xmlns:x14="http://schemas.microsoft.com/office/spreadsheetml/2009/9/main" uri="{876F7934-8845-4945-9796-88D515C7AA90}">
      <x14:pivotCaches>
        <pivotCache cacheId="3" r:id="rId10"/>
      </x14:pivotCaches>
    </ex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ExpenseTable" name="ExpenseTable" connection="WorksheetConnection_Book1!Expense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 i="2" l="1"/>
  <c r="B7" i="10"/>
  <c r="B6" i="10" a="1"/>
  <c r="B6" i="10" s="1"/>
  <c r="B5" i="10"/>
  <c r="B2" i="10"/>
  <c r="B1" i="10"/>
  <c r="B4" i="10" l="1"/>
  <c r="B3"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6DA818-8F2A-4ACB-80E5-8119F21D1D9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21D9C42-4857-432F-8F7E-EF61DFB9DE7F}" name="WorksheetConnection_Book1!ExpenseTable" type="102" refreshedVersion="8" minRefreshableVersion="5">
    <extLst>
      <ext xmlns:x15="http://schemas.microsoft.com/office/spreadsheetml/2010/11/main" uri="{DE250136-89BD-433C-8126-D09CA5730AF9}">
        <x15:connection id="ExpenseTable" autoDelete="1">
          <x15:rangePr sourceName="_xlcn.WorksheetConnection_Book1ExpenseTable"/>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<sst xmlns="http://schemas.openxmlformats.org/spreadsheetml/2006/main" count="219" uniqueCount="115">
  <si>
    <r>
      <rPr>
        <b/>
        <sz val="28"/>
        <color theme="0"/>
        <rFont val="Segoe UI"/>
        <family val="2"/>
      </rPr>
      <t xml:space="preserve"> Personal Expense Tracker</t>
    </r>
    <r>
      <rPr>
        <b/>
        <sz val="36"/>
        <color rgb="FFFF0000"/>
        <rFont val="Aptos Narrow"/>
        <family val="2"/>
        <scheme val="minor"/>
      </rPr>
      <t xml:space="preserve">                                           </t>
    </r>
  </si>
  <si>
    <t>Date</t>
  </si>
  <si>
    <t>Type</t>
  </si>
  <si>
    <t>Category</t>
  </si>
  <si>
    <t>Description</t>
  </si>
  <si>
    <t>Amount</t>
  </si>
  <si>
    <t>Payment Mode</t>
  </si>
  <si>
    <t>Notes</t>
  </si>
  <si>
    <t>Income</t>
  </si>
  <si>
    <t>Salary</t>
  </si>
  <si>
    <t>Bank Transfer</t>
  </si>
  <si>
    <t>Expense</t>
  </si>
  <si>
    <t>UPI</t>
  </si>
  <si>
    <t>Cash</t>
  </si>
  <si>
    <t>Entertainment</t>
  </si>
  <si>
    <t>Utilities</t>
  </si>
  <si>
    <t>Health</t>
  </si>
  <si>
    <t>Shopping</t>
  </si>
  <si>
    <t>TOTAL INCOME</t>
  </si>
  <si>
    <t>TOTAL EXPENSE</t>
  </si>
  <si>
    <t>Row Labels</t>
  </si>
  <si>
    <t>Grand Total</t>
  </si>
  <si>
    <t>Sum of Amount</t>
  </si>
  <si>
    <t>Column Labels</t>
  </si>
  <si>
    <t>TOTAL SAVINGS</t>
  </si>
  <si>
    <t>B30</t>
  </si>
  <si>
    <t>Food</t>
  </si>
  <si>
    <t>Monthly Salary</t>
  </si>
  <si>
    <t>Received on time</t>
  </si>
  <si>
    <t>Groceries – Walmart</t>
  </si>
  <si>
    <t>Weekly groceries</t>
  </si>
  <si>
    <t>Transport</t>
  </si>
  <si>
    <t>Uber Ride</t>
  </si>
  <si>
    <t>Card</t>
  </si>
  <si>
    <t>Office commute</t>
  </si>
  <si>
    <t>Netflix Subscription</t>
  </si>
  <si>
    <t>Monthly renewal</t>
  </si>
  <si>
    <t>Electricity Bill</t>
  </si>
  <si>
    <t>Monthly bill</t>
  </si>
  <si>
    <t>Lunch – Subway</t>
  </si>
  <si>
    <t>Office lunch</t>
  </si>
  <si>
    <t>Medicines</t>
  </si>
  <si>
    <t>Fever</t>
  </si>
  <si>
    <t>Freelance</t>
  </si>
  <si>
    <t>Logo Design Payment</t>
  </si>
  <si>
    <t>Upwork client</t>
  </si>
  <si>
    <t>T-shirt from H&amp;M</t>
  </si>
  <si>
    <t>Sale purchase</t>
  </si>
  <si>
    <t>Gas / Petrol</t>
  </si>
  <si>
    <t>Filled full tank</t>
  </si>
  <si>
    <t>Bills</t>
  </si>
  <si>
    <t>Mobile Recharge</t>
  </si>
  <si>
    <t>28-day plan</t>
  </si>
  <si>
    <t>Dinner – Pizza Hut</t>
  </si>
  <si>
    <t>Weekend outing</t>
  </si>
  <si>
    <t>Cashback</t>
  </si>
  <si>
    <t>Credit Card Cashback</t>
  </si>
  <si>
    <t>Reward points</t>
  </si>
  <si>
    <t>Education</t>
  </si>
  <si>
    <t>Online Course Subscription</t>
  </si>
  <si>
    <t>Skill upgrade</t>
  </si>
  <si>
    <t>Household</t>
  </si>
  <si>
    <t>Cleaning Supplies</t>
  </si>
  <si>
    <t>Monthly cleaning</t>
  </si>
  <si>
    <t>Travel</t>
  </si>
  <si>
    <t>Train Ticket (City Visit)</t>
  </si>
  <si>
    <t>To visit family</t>
  </si>
  <si>
    <t>Coffee – Starbucks</t>
  </si>
  <si>
    <t>With friend</t>
  </si>
  <si>
    <t>Movie Tickets</t>
  </si>
  <si>
    <t>Weekend movie</t>
  </si>
  <si>
    <t>Internet Bill</t>
  </si>
  <si>
    <t>Monthly plan</t>
  </si>
  <si>
    <t>Gym Membership Fee</t>
  </si>
  <si>
    <t>Monthly fee</t>
  </si>
  <si>
    <t>Gift</t>
  </si>
  <si>
    <t>Money Gift from Friend</t>
  </si>
  <si>
    <t>Birthday gift</t>
  </si>
  <si>
    <t>Shoes (Amazon)</t>
  </si>
  <si>
    <t>Offer price</t>
  </si>
  <si>
    <t>Breakfast – Local Café</t>
  </si>
  <si>
    <t>Morning meal</t>
  </si>
  <si>
    <t>Bus Pass</t>
  </si>
  <si>
    <t>Monthly</t>
  </si>
  <si>
    <t>Water Bill</t>
  </si>
  <si>
    <t>AVERAGE SPENDING</t>
  </si>
  <si>
    <t>UNIQUE COUNTS</t>
  </si>
  <si>
    <t>Highest Category</t>
  </si>
  <si>
    <t>Date and Time</t>
  </si>
  <si>
    <t>14-11-2025</t>
  </si>
  <si>
    <t>1/1/2025</t>
  </si>
  <si>
    <t>1/10/2025</t>
  </si>
  <si>
    <t>1/11/2025</t>
  </si>
  <si>
    <t>1/12/2025</t>
  </si>
  <si>
    <t>1/13/2025</t>
  </si>
  <si>
    <t>1/14/2025</t>
  </si>
  <si>
    <t>1/15/2025</t>
  </si>
  <si>
    <t>1/16/2025</t>
  </si>
  <si>
    <t>1/17/2025</t>
  </si>
  <si>
    <t>1/18/2025</t>
  </si>
  <si>
    <t>1/19/2025</t>
  </si>
  <si>
    <t>1/2/2025</t>
  </si>
  <si>
    <t>1/20/2025</t>
  </si>
  <si>
    <t>1/21/2025</t>
  </si>
  <si>
    <t>1/22/2025</t>
  </si>
  <si>
    <t>1/23/2025</t>
  </si>
  <si>
    <t>1/24/2025</t>
  </si>
  <si>
    <t>1/25/2025</t>
  </si>
  <si>
    <t>1/3/2025</t>
  </si>
  <si>
    <t>1/4/2025</t>
  </si>
  <si>
    <t>1/5/2025</t>
  </si>
  <si>
    <t>1/6/2025</t>
  </si>
  <si>
    <t>1/7/2025</t>
  </si>
  <si>
    <t>1/8/2025</t>
  </si>
  <si>
    <t>1/9/2025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</si>
</sst>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quot;₹&quot;\ #,##0.00"/>
    <numFmt numFmtId="166" formatCode="&quot;₹&quot;\ #,##0"/>
  </numFmts>
  <fonts count="8" x14ac:knownFonts="1">
    <font>
      <sz val="11"/>
      <color theme="1"/>
      <name val="Aptos Narrow"/>
      <family val="2"/>
      <scheme val="minor"/>
    </font>
    <font>
      <sz val="11"/>
      <color rgb="FFFF0000"/>
      <name val="Aptos Narrow"/>
      <family val="2"/>
      <scheme val="minor"/>
    </font>
    <font>
      <b/>
      <sz val="11"/>
      <color theme="1"/>
      <name val="Aptos Narrow"/>
      <family val="2"/>
      <scheme val="minor"/>
    </font>
    <font>
      <b/>
      <sz val="36"/>
      <color rgb="FFFF0000"/>
      <name val="Aptos Narrow"/>
      <family val="2"/>
      <scheme val="minor"/>
    </font>
    <font>
      <b/>
      <sz val="28"/>
      <color theme="0"/>
      <name val="Segoe UI"/>
      <family val="2"/>
    </font>
    <font>
      <sz val="11"/>
      <color rgb="FF00FF00"/>
      <name val="Aptos Narrow"/>
      <family val="2"/>
      <scheme val="minor"/>
    </font>
    <font>
      <sz val="8"/>
      <name val="Aptos Narrow"/>
      <family val="2"/>
      <scheme val="minor"/>
    </font>
    <font>
      <sz val="10"/>
      <color theme="1"/>
      <name val="Aptos Narrow"/>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rgb="FF1A777C"/>
        <bgColor indexed="64"/>
      </patternFill>
    </fill>
    <fill>
      <patternFill patternType="solid">
        <fgColor theme="0"/>
        <bgColor indexed="64"/>
      </patternFill>
    </fill>
    <fill>
      <patternFill patternType="solid">
        <fgColor rgb="FFE6FFE6"/>
        <bgColor indexed="64"/>
      </patternFill>
    </fill>
  </fills>
  <borders count="1">
    <border>
      <left/>
      <right/>
      <top/>
      <bottom/>
      <diagonal/>
    </border>
  </borders>
  <cellStyleXfs count="1">
    <xf numFmtId="0" fontId="0" fillId="0" borderId="0"/>
  </cellStyleXfs>
  <cellXfs count="30">
    <xf numFmtId="0" fontId="0" fillId="0" borderId="0" xfId="0"/>
    <xf numFmtId="0" fontId="0" fillId="2" borderId="0" xfId="0" applyFill="1"/>
    <xf numFmtId="0" fontId="0" fillId="4" borderId="0" xfId="0" applyFill="1"/>
    <xf numFmtId="0" fontId="2" fillId="0" borderId="0" xfId="0" applyFont="1" applyAlignment="1">
      <alignment horizontal="center" vertical="center" wrapText="1"/>
    </xf>
    <xf numFmtId="0" fontId="0" fillId="0" borderId="0" xfId="0" applyAlignment="1">
      <alignment horizontal="right" vertical="center" wrapText="1"/>
    </xf>
    <xf numFmtId="0" fontId="2" fillId="0" borderId="0" xfId="0" applyFont="1" applyAlignment="1">
      <alignment horizontal="right" vertical="center" wrapText="1"/>
    </xf>
    <xf numFmtId="14" fontId="0" fillId="0" borderId="0" xfId="0" applyNumberFormat="1" applyAlignment="1">
      <alignment vertical="center" wrapText="1"/>
    </xf>
    <xf numFmtId="0" fontId="0" fillId="0" borderId="0" xfId="0" applyAlignment="1">
      <alignment vertical="center" wrapText="1"/>
    </xf>
    <xf numFmtId="0" fontId="0" fillId="5" borderId="0" xfId="0" applyFill="1"/>
    <xf numFmtId="0" fontId="0" fillId="0" borderId="0" xfId="0" pivotButton="1"/>
    <xf numFmtId="0" fontId="0" fillId="0" borderId="0" xfId="0" applyAlignment="1">
      <alignment horizontal="left"/>
    </xf>
    <xf numFmtId="0" fontId="2" fillId="2" borderId="0" xfId="0" applyFont="1" applyFill="1"/>
    <xf numFmtId="0" fontId="2" fillId="4" borderId="0" xfId="0" applyFont="1" applyFill="1"/>
    <xf numFmtId="4" fontId="0" fillId="4" borderId="0" xfId="0" applyNumberFormat="1" applyFill="1"/>
    <xf numFmtId="164" fontId="0" fillId="4" borderId="0" xfId="0" applyNumberFormat="1" applyFill="1"/>
    <xf numFmtId="164" fontId="5" fillId="4" borderId="0" xfId="0" applyNumberFormat="1" applyFont="1" applyFill="1"/>
    <xf numFmtId="164" fontId="0" fillId="0" borderId="0" xfId="0" applyNumberFormat="1" applyAlignment="1">
      <alignment vertical="center" wrapText="1"/>
    </xf>
    <xf numFmtId="0" fontId="2" fillId="0" borderId="0" xfId="0" applyFont="1"/>
    <xf numFmtId="0" fontId="0" fillId="0" borderId="0" xfId="0" applyAlignment="1">
      <alignment wrapText="1"/>
    </xf>
    <xf numFmtId="22" fontId="0" fillId="0" borderId="0" xfId="0" applyNumberFormat="1"/>
    <xf numFmtId="0" fontId="7" fillId="4" borderId="0" xfId="0" applyFont="1" applyFill="1"/>
    <xf numFmtId="165" fontId="0" fillId="0" borderId="0" xfId="0" applyNumberFormat="1"/>
    <xf numFmtId="49" fontId="0" fillId="0" borderId="0" xfId="0" applyNumberFormat="1"/>
    <xf numFmtId="166" fontId="0" fillId="0" borderId="0" xfId="0" applyNumberFormat="1"/>
    <xf numFmtId="14" fontId="2" fillId="0" borderId="0" xfId="0" applyNumberFormat="1" applyFont="1" applyAlignment="1">
      <alignment vertical="center" wrapText="1"/>
    </xf>
    <xf numFmtId="0" fontId="2" fillId="0" borderId="0" xfId="0" applyFont="1" applyAlignment="1">
      <alignment vertical="center" wrapText="1"/>
    </xf>
    <xf numFmtId="164" fontId="2" fillId="0" borderId="0" xfId="0" applyNumberFormat="1" applyFont="1" applyAlignment="1">
      <alignment vertical="center" wrapText="1"/>
    </xf>
    <xf numFmtId="0" fontId="3" fillId="3" borderId="0" xfId="0" applyFont="1" applyFill="1" applyAlignment="1">
      <alignment horizontal="left" vertical="center"/>
    </xf>
    <xf numFmtId="0" fontId="1" fillId="3" borderId="0" xfId="0" applyFont="1" applyFill="1" applyAlignment="1">
      <alignment horizontal="left" vertical="center"/>
    </xf>
    <xf numFmtId="0" fontId="0" fillId="0" borderId="0" xfId="0" applyNumberFormat="1"/>
  </cellXfs>
  <cellStyles count="1">
    <cellStyle name="Normal" xfId="0" builtinId="0"/>
  </cellStyles>
  <dxfs count="9">
    <dxf>
      <alignment horizontal="general" vertical="center" textRotation="0" wrapText="1" indent="0" justifyLastLine="0" shrinkToFit="0" readingOrder="0"/>
    </dxf>
    <dxf>
      <alignment horizontal="general" vertical="center" textRotation="0" wrapText="1" indent="0" justifyLastLine="0" shrinkToFit="0" readingOrder="0"/>
    </dxf>
    <dxf>
      <alignment horizontal="right"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s>
  <tableStyles count="0" defaultTableStyle="TableStyleMedium2" defaultPivotStyle="PivotStyleLight16"/>
  <colors>
    <mruColors>
      <color rgb="FF7C3AED"/>
      <color rgb="FF1A777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4.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EXPENSE TRACKOR.xlsm]Spending By Category!PivotTable1</c:name>
    <c:fmtId val="8"/>
  </c:pivotSource>
  <c:chart>
    <c:title>
      <c:tx>
        <c:rich>
          <a:bodyPr rot="0" spcFirstLastPara="1" vertOverflow="ellipsis" vert="horz" wrap="square" anchor="ctr" anchorCtr="1"/>
          <a:lstStyle/>
          <a:p>
            <a:pPr>
              <a:defRPr sz="1600" b="1" i="0" u="none" strike="noStrike" kern="1200" baseline="0">
                <a:solidFill>
                  <a:schemeClr val="tx1"/>
                </a:solidFill>
                <a:latin typeface="Segoe UI" panose="020B0502040204020203" pitchFamily="34" charset="0"/>
                <a:ea typeface="+mn-ea"/>
                <a:cs typeface="Segoe UI" panose="020B0502040204020203" pitchFamily="34" charset="0"/>
              </a:defRPr>
            </a:pPr>
            <a:r>
              <a:rPr lang="en-US" sz="1600">
                <a:solidFill>
                  <a:schemeClr val="tx1"/>
                </a:solidFill>
                <a:latin typeface="Segoe UI" panose="020B0502040204020203" pitchFamily="34" charset="0"/>
                <a:cs typeface="Segoe UI" panose="020B0502040204020203" pitchFamily="34" charset="0"/>
              </a:rPr>
              <a:t>Spending By Category</a:t>
            </a:r>
          </a:p>
        </c:rich>
      </c:tx>
      <c:layout>
        <c:manualLayout>
          <c:xMode val="edge"/>
          <c:yMode val="edge"/>
          <c:x val="0.28506874176757085"/>
          <c:y val="2.9737489013550729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title>
    <c:autoTitleDeleted val="0"/>
    <c:pivotFmts>
      <c:pivotFmt>
        <c:idx val="0"/>
        <c:dLbl>
          <c:idx val="0"/>
          <c:dLblPos val="outEnd"/>
          <c:showLegendKey val="1"/>
          <c:showVal val="0"/>
          <c:showCatName val="0"/>
          <c:showSerName val="0"/>
          <c:showPercent val="1"/>
          <c:showBubbleSize val="0"/>
          <c:extLst>
            <c:ext xmlns:c15="http://schemas.microsoft.com/office/drawing/2012/chart" uri="{CE6537A1-D6FC-4f65-9D91-7224C49458BB}"/>
          </c:extLst>
        </c:dLbl>
      </c:pivotFmt>
      <c:pivotFmt>
        <c:idx val="1"/>
        <c:dLbl>
          <c:idx val="0"/>
          <c:dLblPos val="outEnd"/>
          <c:showLegendKey val="1"/>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2"/>
        <c:dLbl>
          <c:idx val="0"/>
          <c:layout>
            <c:manualLayout>
              <c:x val="1.089497127587998E-2"/>
              <c:y val="-8.6142330119685362E-2"/>
            </c:manualLayout>
          </c:layout>
          <c:dLblPos val="bestFit"/>
          <c:showLegendKey val="1"/>
          <c:showVal val="0"/>
          <c:showCatName val="1"/>
          <c:showSerName val="0"/>
          <c:showPercent val="1"/>
          <c:showBubbleSize val="0"/>
          <c:extLst>
            <c:ext xmlns:c15="http://schemas.microsoft.com/office/drawing/2012/chart" uri="{CE6537A1-D6FC-4f65-9D91-7224C49458BB}"/>
          </c:extLst>
        </c:dLbl>
      </c:pivotFmt>
      <c:pivotFmt>
        <c:idx val="13"/>
        <c:dLbl>
          <c:idx val="0"/>
          <c:layout>
            <c:manualLayout>
              <c:x val="8.715977020704048E-2"/>
              <c:y val="-5.4405682180853954E-2"/>
            </c:manualLayout>
          </c:layout>
          <c:dLblPos val="bestFit"/>
          <c:showLegendKey val="1"/>
          <c:showVal val="0"/>
          <c:showCatName val="1"/>
          <c:showSerName val="0"/>
          <c:showPercent val="1"/>
          <c:showBubbleSize val="0"/>
          <c:extLst>
            <c:ext xmlns:c15="http://schemas.microsoft.com/office/drawing/2012/chart" uri="{CE6537A1-D6FC-4f65-9D91-7224C49458BB}"/>
          </c:extLst>
        </c:dLbl>
      </c:pivotFmt>
      <c:pivotFmt>
        <c:idx val="14"/>
      </c:pivotFmt>
      <c:pivotFmt>
        <c:idx val="15"/>
        <c:dLbl>
          <c:idx val="0"/>
          <c:layout>
            <c:manualLayout>
              <c:x val="5.0116867869048197E-2"/>
              <c:y val="-9.0676136968089932E-2"/>
            </c:manualLayout>
          </c:layout>
          <c:dLblPos val="bestFit"/>
          <c:showLegendKey val="1"/>
          <c:showVal val="0"/>
          <c:showCatName val="1"/>
          <c:showSerName val="0"/>
          <c:showPercent val="1"/>
          <c:showBubbleSize val="0"/>
          <c:extLst>
            <c:ext xmlns:c15="http://schemas.microsoft.com/office/drawing/2012/chart" uri="{CE6537A1-D6FC-4f65-9D91-7224C49458BB}"/>
          </c:extLst>
        </c:dLbl>
      </c:pivotFmt>
      <c:pivotFmt>
        <c:idx val="16"/>
      </c:pivotFmt>
      <c:pivotFmt>
        <c:idx val="17"/>
        <c:dLbl>
          <c:idx val="0"/>
          <c:layout>
            <c:manualLayout>
              <c:x val="-9.1517758717392511E-2"/>
              <c:y val="-4.5338068484044924E-2"/>
            </c:manualLayout>
          </c:layout>
          <c:dLblPos val="bestFit"/>
          <c:showLegendKey val="1"/>
          <c:showVal val="0"/>
          <c:showCatName val="1"/>
          <c:showSerName val="0"/>
          <c:showPercent val="1"/>
          <c:showBubbleSize val="0"/>
          <c:extLst>
            <c:ext xmlns:c15="http://schemas.microsoft.com/office/drawing/2012/chart" uri="{CE6537A1-D6FC-4f65-9D91-7224C49458BB}"/>
          </c:extLst>
        </c:dLbl>
      </c:pivotFmt>
      <c:pivotFmt>
        <c:idx val="18"/>
        <c:dLbl>
          <c:idx val="0"/>
          <c:layout>
            <c:manualLayout>
              <c:x val="-4.357988510352024E-2"/>
              <c:y val="9.0676136968089849E-2"/>
            </c:manualLayout>
          </c:layout>
          <c:dLblPos val="bestFit"/>
          <c:showLegendKey val="1"/>
          <c:showVal val="0"/>
          <c:showCatName val="1"/>
          <c:showSerName val="0"/>
          <c:showPercent val="1"/>
          <c:showBubbleSize val="0"/>
          <c:extLst>
            <c:ext xmlns:c15="http://schemas.microsoft.com/office/drawing/2012/chart" uri="{CE6537A1-D6FC-4f65-9D91-7224C49458BB}"/>
          </c:extLst>
        </c:dLbl>
      </c:pivotFmt>
      <c:pivotFmt>
        <c:idx val="19"/>
        <c:dLbl>
          <c:idx val="0"/>
          <c:layout>
            <c:manualLayout>
              <c:x val="-6.3190833400104354E-2"/>
              <c:y val="-5.8939489029258448E-2"/>
            </c:manualLayout>
          </c:layout>
          <c:dLblPos val="bestFit"/>
          <c:showLegendKey val="1"/>
          <c:showVal val="0"/>
          <c:showCatName val="1"/>
          <c:showSerName val="0"/>
          <c:showPercent val="1"/>
          <c:showBubbleSize val="0"/>
          <c:extLst>
            <c:ext xmlns:c15="http://schemas.microsoft.com/office/drawing/2012/chart" uri="{CE6537A1-D6FC-4f65-9D91-7224C49458BB}"/>
          </c:extLst>
        </c:dLbl>
      </c:pivotFmt>
      <c:pivotFmt>
        <c:idx val="20"/>
      </c:pivotFmt>
      <c:pivotFmt>
        <c:idx val="21"/>
        <c:dLbl>
          <c:idx val="0"/>
          <c:layout>
            <c:manualLayout>
              <c:x val="1.7684429804450695E-2"/>
              <c:y val="3.1736647938831367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2"/>
        <c:dLbl>
          <c:idx val="0"/>
          <c:layout>
            <c:manualLayout>
              <c:x val="7.3264066332724684E-2"/>
              <c:y val="-9.0676136968089859E-3"/>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3"/>
        <c:dLbl>
          <c:idx val="0"/>
          <c:layout>
            <c:manualLayout>
              <c:x val="3.7895206723823072E-2"/>
              <c:y val="-1.6623766404981735E-16"/>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4"/>
        <c:dLbl>
          <c:idx val="0"/>
          <c:layout>
            <c:manualLayout>
              <c:x val="-3.7895206723823113E-2"/>
              <c:y val="-3.173664793883145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a:outerShdw blurRad="317500" algn="ctr" rotWithShape="0">
              <a:prstClr val="black">
                <a:alpha val="25000"/>
              </a:prstClr>
            </a:outerShdw>
          </a:effectLst>
        </c:spPr>
        <c:marker>
          <c:symbol val="none"/>
        </c:marker>
        <c:dLbl>
          <c:idx val="0"/>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a:noFill/>
          </a:ln>
          <a:effectLst>
            <a:outerShdw blurRad="317500" algn="ctr" rotWithShape="0">
              <a:prstClr val="black">
                <a:alpha val="25000"/>
              </a:prstClr>
            </a:outerShdw>
          </a:effectLst>
        </c:spPr>
        <c:dLbl>
          <c:idx val="0"/>
          <c:layout>
            <c:manualLayout>
              <c:x val="1.4287919350432936E-2"/>
              <c:y val="0.14961562599734818"/>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a:noFill/>
          </a:ln>
          <a:effectLst>
            <a:outerShdw blurRad="317500" algn="ctr" rotWithShape="0">
              <a:prstClr val="black">
                <a:alpha val="25000"/>
              </a:prstClr>
            </a:outerShdw>
          </a:effectLst>
        </c:spPr>
        <c:dLbl>
          <c:idx val="0"/>
          <c:layout>
            <c:manualLayout>
              <c:x val="7.1439596752164672E-2"/>
              <c:y val="4.0804261635640354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a:noFill/>
          </a:ln>
          <a:effectLst>
            <a:outerShdw blurRad="317500" algn="ctr" rotWithShape="0">
              <a:prstClr val="black">
                <a:alpha val="25000"/>
              </a:prstClr>
            </a:outerShdw>
          </a:effectLst>
        </c:spPr>
        <c:dLbl>
          <c:idx val="0"/>
          <c:layout>
            <c:manualLayout>
              <c:x val="8.2869932232510921E-2"/>
              <c:y val="-6.8007102726067428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a:noFill/>
          </a:ln>
          <a:effectLst>
            <a:outerShdw blurRad="317500" algn="ctr" rotWithShape="0">
              <a:prstClr val="black">
                <a:alpha val="25000"/>
              </a:prstClr>
            </a:outerShdw>
          </a:effectLst>
        </c:spPr>
        <c:dLbl>
          <c:idx val="0"/>
          <c:layout>
            <c:manualLayout>
              <c:x val="6.2866845141904909E-2"/>
              <c:y val="-3.6270454787235944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7.7684880051229491E-2"/>
                  <c:h val="0.11431476328887347"/>
                </c:manualLayout>
              </c15:layout>
            </c:ext>
          </c:extLst>
        </c:dLbl>
      </c:pivotFmt>
      <c:pivotFmt>
        <c:idx val="30"/>
        <c:spPr>
          <a:solidFill>
            <a:schemeClr val="accent1"/>
          </a:solidFill>
          <a:ln>
            <a:noFill/>
          </a:ln>
          <a:effectLst>
            <a:outerShdw blurRad="317500" algn="ctr" rotWithShape="0">
              <a:prstClr val="black">
                <a:alpha val="25000"/>
              </a:prstClr>
            </a:outerShdw>
          </a:effectLst>
        </c:spPr>
        <c:dLbl>
          <c:idx val="0"/>
          <c:layout>
            <c:manualLayout>
              <c:x val="0.16288228059493545"/>
              <c:y val="-8.6142330119685404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a:noFill/>
          </a:ln>
          <a:effectLst>
            <a:outerShdw blurRad="317500" algn="ctr" rotWithShape="0">
              <a:prstClr val="black">
                <a:alpha val="25000"/>
              </a:prstClr>
            </a:outerShdw>
          </a:effectLst>
        </c:spPr>
        <c:dLbl>
          <c:idx val="0"/>
          <c:layout>
            <c:manualLayout>
              <c:x val="-0.10001543545303054"/>
              <c:y val="0"/>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a:noFill/>
          </a:ln>
          <a:effectLst>
            <a:outerShdw blurRad="317500" algn="ctr" rotWithShape="0">
              <a:prstClr val="black">
                <a:alpha val="25000"/>
              </a:prstClr>
            </a:outerShdw>
          </a:effectLst>
        </c:spPr>
        <c:dLbl>
          <c:idx val="0"/>
          <c:layout>
            <c:manualLayout>
              <c:x val="-8.0012348362424449E-2"/>
              <c:y val="0.10427755751330334"/>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a:noFill/>
          </a:ln>
          <a:effectLst>
            <a:outerShdw blurRad="317500" algn="ctr" rotWithShape="0">
              <a:prstClr val="black">
                <a:alpha val="25000"/>
              </a:prstClr>
            </a:outerShdw>
          </a:effectLst>
        </c:spPr>
        <c:dLbl>
          <c:idx val="0"/>
          <c:layout>
            <c:manualLayout>
              <c:x val="-6.5724429011991506E-2"/>
              <c:y val="-9.9743750664898836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a:noFill/>
          </a:ln>
          <a:effectLst>
            <a:outerShdw blurRad="317500" algn="ctr" rotWithShape="0">
              <a:prstClr val="black">
                <a:alpha val="25000"/>
              </a:prstClr>
            </a:outerShdw>
          </a:effectLst>
        </c:spPr>
        <c:dLbl>
          <c:idx val="0"/>
          <c:layout>
            <c:manualLayout>
              <c:x val="-8.2869932232511018E-2"/>
              <c:y val="3.6270454787235944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solidFill>
            <a:schemeClr val="accent1"/>
          </a:solidFill>
          <a:ln>
            <a:noFill/>
          </a:ln>
          <a:effectLst>
            <a:outerShdw blurRad="317500" algn="ctr" rotWithShape="0">
              <a:prstClr val="black">
                <a:alpha val="25000"/>
              </a:prstClr>
            </a:outerShdw>
          </a:effectLst>
        </c:spPr>
        <c:dLbl>
          <c:idx val="0"/>
          <c:layout>
            <c:manualLayout>
              <c:x val="6.2866845141904909E-2"/>
              <c:y val="0.6438005724734379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solidFill>
            <a:schemeClr val="accent1"/>
          </a:solidFill>
          <a:ln>
            <a:noFill/>
          </a:ln>
          <a:effectLst>
            <a:outerShdw blurRad="317500" algn="ctr" rotWithShape="0">
              <a:prstClr val="black">
                <a:alpha val="25000"/>
              </a:prstClr>
            </a:outerShdw>
          </a:effectLst>
        </c:spPr>
        <c:dLbl>
          <c:idx val="0"/>
          <c:layout>
            <c:manualLayout>
              <c:x val="8.8585099972684198E-2"/>
              <c:y val="-4.9871875332449418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solidFill>
            <a:schemeClr val="accent1"/>
          </a:solidFill>
          <a:ln>
            <a:noFill/>
          </a:ln>
          <a:effectLst>
            <a:outerShdw blurRad="317500" algn="ctr" rotWithShape="0">
              <a:prstClr val="black">
                <a:alpha val="25000"/>
              </a:prstClr>
            </a:outerShdw>
          </a:effectLst>
        </c:spPr>
        <c:dLbl>
          <c:idx val="0"/>
          <c:layout>
            <c:manualLayout>
              <c:x val="-4.0006174181212273E-2"/>
              <c:y val="-1.8135227393617972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solidFill>
            <a:schemeClr val="accent1"/>
          </a:solidFill>
          <a:ln>
            <a:noFill/>
          </a:ln>
          <a:effectLst>
            <a:outerShdw blurRad="317500" algn="ctr" rotWithShape="0">
              <a:prstClr val="black">
                <a:alpha val="25000"/>
              </a:prstClr>
            </a:outerShdw>
          </a:effectLst>
        </c:spPr>
      </c:pivotFmt>
      <c:pivotFmt>
        <c:idx val="39"/>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'Spending By Category'!$B$4</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2763-49E4-ACE2-EB290359F1A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2763-49E4-ACE2-EB290359F1A5}"/>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2763-49E4-ACE2-EB290359F1A5}"/>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2763-49E4-ACE2-EB290359F1A5}"/>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2763-49E4-ACE2-EB290359F1A5}"/>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2763-49E4-ACE2-EB290359F1A5}"/>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2763-49E4-ACE2-EB290359F1A5}"/>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2763-49E4-ACE2-EB290359F1A5}"/>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2763-49E4-ACE2-EB290359F1A5}"/>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2763-49E4-ACE2-EB290359F1A5}"/>
              </c:ext>
            </c:extLst>
          </c:dPt>
          <c:dPt>
            <c:idx val="10"/>
            <c:bubble3D val="0"/>
            <c:spPr>
              <a:solidFill>
                <a:schemeClr val="accent5">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2763-49E4-ACE2-EB290359F1A5}"/>
              </c:ext>
            </c:extLst>
          </c:dPt>
          <c:dPt>
            <c:idx val="11"/>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2763-49E4-ACE2-EB290359F1A5}"/>
              </c:ext>
            </c:extLst>
          </c:dPt>
          <c:dPt>
            <c:idx val="12"/>
            <c:bubble3D val="0"/>
            <c:spPr>
              <a:solidFill>
                <a:schemeClr val="accent1">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2763-49E4-ACE2-EB290359F1A5}"/>
              </c:ext>
            </c:extLst>
          </c:dPt>
          <c:dPt>
            <c:idx val="13"/>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B-2763-49E4-ACE2-EB290359F1A5}"/>
              </c:ext>
            </c:extLst>
          </c:dPt>
          <c:dLbls>
            <c:dLbl>
              <c:idx val="1"/>
              <c:layout>
                <c:manualLayout>
                  <c:x val="-4.0006174181212273E-2"/>
                  <c:y val="-1.813522739361797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763-49E4-ACE2-EB290359F1A5}"/>
                </c:ext>
              </c:extLst>
            </c:dLbl>
            <c:dLbl>
              <c:idx val="2"/>
              <c:layout>
                <c:manualLayout>
                  <c:x val="8.8585099972684198E-2"/>
                  <c:y val="-4.987187533244941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763-49E4-ACE2-EB290359F1A5}"/>
                </c:ext>
              </c:extLst>
            </c:dLbl>
            <c:dLbl>
              <c:idx val="3"/>
              <c:layout>
                <c:manualLayout>
                  <c:x val="6.2866845141904909E-2"/>
                  <c:y val="0.643800572473437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763-49E4-ACE2-EB290359F1A5}"/>
                </c:ext>
              </c:extLst>
            </c:dLbl>
            <c:dLbl>
              <c:idx val="4"/>
              <c:layout>
                <c:manualLayout>
                  <c:x val="0.16288228059493545"/>
                  <c:y val="-8.614233011968540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763-49E4-ACE2-EB290359F1A5}"/>
                </c:ext>
              </c:extLst>
            </c:dLbl>
            <c:dLbl>
              <c:idx val="5"/>
              <c:layout>
                <c:manualLayout>
                  <c:x val="8.2869932232510921E-2"/>
                  <c:y val="-6.800710272606742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763-49E4-ACE2-EB290359F1A5}"/>
                </c:ext>
              </c:extLst>
            </c:dLbl>
            <c:dLbl>
              <c:idx val="6"/>
              <c:layout>
                <c:manualLayout>
                  <c:x val="6.2866845141904909E-2"/>
                  <c:y val="-3.6270454787235944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7.7684880051229491E-2"/>
                      <c:h val="0.11431476328887347"/>
                    </c:manualLayout>
                  </c15:layout>
                </c:ext>
                <c:ext xmlns:c16="http://schemas.microsoft.com/office/drawing/2014/chart" uri="{C3380CC4-5D6E-409C-BE32-E72D297353CC}">
                  <c16:uniqueId val="{0000000D-2763-49E4-ACE2-EB290359F1A5}"/>
                </c:ext>
              </c:extLst>
            </c:dLbl>
            <c:dLbl>
              <c:idx val="7"/>
              <c:layout>
                <c:manualLayout>
                  <c:x val="7.1439596752164672E-2"/>
                  <c:y val="4.080426163564035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2763-49E4-ACE2-EB290359F1A5}"/>
                </c:ext>
              </c:extLst>
            </c:dLbl>
            <c:dLbl>
              <c:idx val="8"/>
              <c:layout>
                <c:manualLayout>
                  <c:x val="1.4287919350432936E-2"/>
                  <c:y val="0.1496156259973481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2763-49E4-ACE2-EB290359F1A5}"/>
                </c:ext>
              </c:extLst>
            </c:dLbl>
            <c:dLbl>
              <c:idx val="10"/>
              <c:layout>
                <c:manualLayout>
                  <c:x val="-8.0012348362424449E-2"/>
                  <c:y val="0.1042775575133033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5-2763-49E4-ACE2-EB290359F1A5}"/>
                </c:ext>
              </c:extLst>
            </c:dLbl>
            <c:dLbl>
              <c:idx val="11"/>
              <c:layout>
                <c:manualLayout>
                  <c:x val="-0.10001543545303054"/>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7-2763-49E4-ACE2-EB290359F1A5}"/>
                </c:ext>
              </c:extLst>
            </c:dLbl>
            <c:dLbl>
              <c:idx val="12"/>
              <c:layout>
                <c:manualLayout>
                  <c:x val="-6.5724429011991506E-2"/>
                  <c:y val="-9.974375066489883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9-2763-49E4-ACE2-EB290359F1A5}"/>
                </c:ext>
              </c:extLst>
            </c:dLbl>
            <c:dLbl>
              <c:idx val="13"/>
              <c:layout>
                <c:manualLayout>
                  <c:x val="-8.2869932232511018E-2"/>
                  <c:y val="3.627045478723594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B-2763-49E4-ACE2-EB290359F1A5}"/>
                </c:ext>
              </c:extLst>
            </c:dLbl>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Abadi" panose="020F0502020204030204" pitchFamily="34" charset="0"/>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'Spending By Category'!$A$5:$A$19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'Spending By Category'!$B$5:$B$19</c:f>
              <c:numCache>
                <c:formatCode>General</c:formatCode>
                <c:ptCount val="14"/>
                <c:pt idx="0">
                  <c:v>1049</c:v>
                </c:pt>
                <c:pt idx="1">
                  <c:v>120</c:v>
                </c:pt>
                <c:pt idx="2">
                  <c:v>1500</c:v>
                </c:pt>
                <c:pt idx="3">
                  <c:v>949</c:v>
                </c:pt>
                <c:pt idx="4">
                  <c:v>4330</c:v>
                </c:pt>
                <c:pt idx="5">
                  <c:v>6000</c:v>
                </c:pt>
                <c:pt idx="6">
                  <c:v>1000</c:v>
                </c:pt>
                <c:pt idx="7">
                  <c:v>2420</c:v>
                </c:pt>
                <c:pt idx="8">
                  <c:v>350</c:v>
                </c:pt>
                <c:pt idx="9">
                  <c:v>45000</c:v>
                </c:pt>
                <c:pt idx="10">
                  <c:v>2199</c:v>
                </c:pt>
                <c:pt idx="11">
                  <c:v>1850</c:v>
                </c:pt>
                <c:pt idx="12">
                  <c:v>900</c:v>
                </c:pt>
                <c:pt idx="13">
                  <c:v>2799</c:v>
                </c:pt>
              </c:numCache>
            </c:numRef>
          </c:val>
          <c:extLst>
            <c:ext xmlns:c16="http://schemas.microsoft.com/office/drawing/2014/chart" uri="{C3380CC4-5D6E-409C-BE32-E72D297353CC}">
              <c16:uniqueId val="{00000020-FF20-45C9-A1F8-ACAF23D9AC4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1000" b="1" i="0" u="none" strike="noStrike" kern="1200" baseline="0">
              <a:solidFill>
                <a:schemeClr val="dk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EXPENSE TRACKOR.xlsm]Monthly Spending Trend!PivotTable2</c:name>
    <c:fmtId val="11"/>
  </c:pivotSource>
  <c:chart>
    <c:title>
      <c:tx>
        <c:rich>
          <a:bodyPr rot="0" spcFirstLastPara="1" vertOverflow="ellipsis" vert="horz" wrap="square" anchor="ctr" anchorCtr="1"/>
          <a:lstStyle/>
          <a:p>
            <a:pPr>
              <a:defRPr sz="1600" b="1" i="0" u="none" strike="noStrike" kern="1200" spc="0" baseline="0">
                <a:solidFill>
                  <a:schemeClr val="tx1"/>
                </a:solidFill>
                <a:latin typeface="Segoe UI" panose="020B0502040204020203" pitchFamily="34" charset="0"/>
                <a:ea typeface="+mn-ea"/>
                <a:cs typeface="Segoe UI" panose="020B0502040204020203" pitchFamily="34" charset="0"/>
              </a:defRPr>
            </a:pPr>
            <a:r>
              <a:rPr lang="en-US" sz="1600" b="1">
                <a:solidFill>
                  <a:schemeClr val="tx1"/>
                </a:solidFill>
                <a:latin typeface="Segoe UI" panose="020B0502040204020203" pitchFamily="34" charset="0"/>
                <a:cs typeface="Segoe UI" panose="020B0502040204020203" pitchFamily="34" charset="0"/>
              </a:rPr>
              <a:t>Monthly</a:t>
            </a:r>
            <a:r>
              <a:rPr lang="en-US" sz="1600" b="1" baseline="0">
                <a:solidFill>
                  <a:schemeClr val="tx1"/>
                </a:solidFill>
                <a:latin typeface="Segoe UI" panose="020B0502040204020203" pitchFamily="34" charset="0"/>
                <a:cs typeface="Segoe UI" panose="020B0502040204020203" pitchFamily="34" charset="0"/>
              </a:rPr>
              <a:t> Spending Trend</a:t>
            </a:r>
            <a:endParaRPr lang="en-US" sz="1600" b="1">
              <a:solidFill>
                <a:schemeClr val="tx1"/>
              </a:solidFill>
              <a:latin typeface="Segoe UI" panose="020B0502040204020203" pitchFamily="34" charset="0"/>
              <a:cs typeface="Segoe UI" panose="020B0502040204020203" pitchFamily="34" charset="0"/>
            </a:endParaRPr>
          </a:p>
        </c:rich>
      </c:tx>
      <c:layout>
        <c:manualLayout>
          <c:xMode val="edge"/>
          <c:yMode val="edge"/>
          <c:x val="0.27478696166182903"/>
          <c:y val="5.1985175017936314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'Monthly Spending Trend'!$B$3:$B$4</c:f>
              <c:strCache>
                <c:ptCount val="1"/>
                <c:pt idx="0">
                  <c:v>1/1/2025</c:v>
                </c:pt>
              </c:strCache>
            </c:strRef>
          </c:tx>
          <c:spPr>
            <a:solidFill>
              <a:schemeClr val="accent1"/>
            </a:solidFill>
            <a:ln>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Trend'!$B$5:$B$19</c:f>
              <c:numCache>
                <c:formatCode>General</c:formatCode>
                <c:ptCount val="14"/>
                <c:pt idx="9">
                  <c:v>45000</c:v>
                </c:pt>
              </c:numCache>
            </c:numRef>
          </c:val>
          <c:extLst>
            <c:ext xmlns:c16="http://schemas.microsoft.com/office/drawing/2014/chart" uri="{C3380CC4-5D6E-409C-BE32-E72D297353CC}">
              <c16:uniqueId val="{00000000-FB67-451B-92BC-E2D391D1CEF9}"/>
            </c:ext>
          </c:extLst>
        </c:ser>
        <c:ser>
          <c:idx val="1"/>
          <c:order val="1"/>
          <c:tx>
            <c:strRef>
              <c:f>'Monthly Spending Trend'!$C$3:$C$4</c:f>
              <c:strCache>
                <c:ptCount val="1"/>
                <c:pt idx="0">
                  <c:v>1/10/2025</c:v>
                </c:pt>
              </c:strCache>
            </c:strRef>
          </c:tx>
          <c:spPr>
            <a:solidFill>
              <a:schemeClr val="accent2"/>
            </a:solidFill>
            <a:ln>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Trend'!$C$5:$C$19</c:f>
              <c:numCache>
                <c:formatCode>General</c:formatCode>
                <c:ptCount val="14"/>
                <c:pt idx="11">
                  <c:v>1000</c:v>
                </c:pt>
              </c:numCache>
            </c:numRef>
          </c:val>
          <c:extLst>
            <c:ext xmlns:c16="http://schemas.microsoft.com/office/drawing/2014/chart" uri="{C3380CC4-5D6E-409C-BE32-E72D297353CC}">
              <c16:uniqueId val="{00000001-2E17-4DD8-9962-1EFD4690C6F3}"/>
            </c:ext>
          </c:extLst>
        </c:ser>
        <c:ser>
          <c:idx val="2"/>
          <c:order val="2"/>
          <c:tx>
            <c:strRef>
              <c:f>'Monthly Spending Trend'!$D$3:$D$4</c:f>
              <c:strCache>
                <c:ptCount val="1"/>
                <c:pt idx="0">
                  <c:v>1/11/2025</c:v>
                </c:pt>
              </c:strCache>
            </c:strRef>
          </c:tx>
          <c:spPr>
            <a:solidFill>
              <a:schemeClr val="accent3"/>
            </a:solidFill>
            <a:ln>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Trend'!$D$5:$D$19</c:f>
              <c:numCache>
                <c:formatCode>General</c:formatCode>
                <c:ptCount val="14"/>
                <c:pt idx="0">
                  <c:v>249</c:v>
                </c:pt>
              </c:numCache>
            </c:numRef>
          </c:val>
          <c:extLst>
            <c:ext xmlns:c16="http://schemas.microsoft.com/office/drawing/2014/chart" uri="{C3380CC4-5D6E-409C-BE32-E72D297353CC}">
              <c16:uniqueId val="{00000002-2E17-4DD8-9962-1EFD4690C6F3}"/>
            </c:ext>
          </c:extLst>
        </c:ser>
        <c:ser>
          <c:idx val="3"/>
          <c:order val="3"/>
          <c:tx>
            <c:strRef>
              <c:f>'Monthly Spending Trend'!$E$3:$E$4</c:f>
              <c:strCache>
                <c:ptCount val="1"/>
                <c:pt idx="0">
                  <c:v>1/12/2025</c:v>
                </c:pt>
              </c:strCache>
            </c:strRef>
          </c:tx>
          <c:spPr>
            <a:solidFill>
              <a:schemeClr val="accent4"/>
            </a:solidFill>
            <a:ln>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Trend'!$E$5:$E$19</c:f>
              <c:numCache>
                <c:formatCode>General</c:formatCode>
                <c:ptCount val="14"/>
                <c:pt idx="4">
                  <c:v>780</c:v>
                </c:pt>
              </c:numCache>
            </c:numRef>
          </c:val>
          <c:extLst>
            <c:ext xmlns:c16="http://schemas.microsoft.com/office/drawing/2014/chart" uri="{C3380CC4-5D6E-409C-BE32-E72D297353CC}">
              <c16:uniqueId val="{00000003-2E17-4DD8-9962-1EFD4690C6F3}"/>
            </c:ext>
          </c:extLst>
        </c:ser>
        <c:ser>
          <c:idx val="4"/>
          <c:order val="4"/>
          <c:tx>
            <c:strRef>
              <c:f>'Monthly Spending Trend'!$F$3:$F$4</c:f>
              <c:strCache>
                <c:ptCount val="1"/>
                <c:pt idx="0">
                  <c:v>1/13/2025</c:v>
                </c:pt>
              </c:strCache>
            </c:strRef>
          </c:tx>
          <c:spPr>
            <a:solidFill>
              <a:schemeClr val="accent5"/>
            </a:solidFill>
            <a:ln>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Trend'!$F$5:$F$19</c:f>
              <c:numCache>
                <c:formatCode>General</c:formatCode>
                <c:ptCount val="14"/>
                <c:pt idx="1">
                  <c:v>120</c:v>
                </c:pt>
              </c:numCache>
            </c:numRef>
          </c:val>
          <c:extLst>
            <c:ext xmlns:c16="http://schemas.microsoft.com/office/drawing/2014/chart" uri="{C3380CC4-5D6E-409C-BE32-E72D297353CC}">
              <c16:uniqueId val="{00000004-2E17-4DD8-9962-1EFD4690C6F3}"/>
            </c:ext>
          </c:extLst>
        </c:ser>
        <c:ser>
          <c:idx val="5"/>
          <c:order val="5"/>
          <c:tx>
            <c:strRef>
              <c:f>'Monthly Spending Trend'!$G$3:$G$4</c:f>
              <c:strCache>
                <c:ptCount val="1"/>
                <c:pt idx="0">
                  <c:v>1/14/2025</c:v>
                </c:pt>
              </c:strCache>
            </c:strRef>
          </c:tx>
          <c:spPr>
            <a:solidFill>
              <a:schemeClr val="accent6"/>
            </a:solidFill>
            <a:ln>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Trend'!$G$5:$G$19</c:f>
              <c:numCache>
                <c:formatCode>General</c:formatCode>
                <c:ptCount val="14"/>
                <c:pt idx="2">
                  <c:v>1500</c:v>
                </c:pt>
              </c:numCache>
            </c:numRef>
          </c:val>
          <c:extLst>
            <c:ext xmlns:c16="http://schemas.microsoft.com/office/drawing/2014/chart" uri="{C3380CC4-5D6E-409C-BE32-E72D297353CC}">
              <c16:uniqueId val="{00000005-2E17-4DD8-9962-1EFD4690C6F3}"/>
            </c:ext>
          </c:extLst>
        </c:ser>
        <c:ser>
          <c:idx val="6"/>
          <c:order val="6"/>
          <c:tx>
            <c:strRef>
              <c:f>'Monthly Spending Trend'!$H$3:$H$4</c:f>
              <c:strCache>
                <c:ptCount val="1"/>
                <c:pt idx="0">
                  <c:v>1/15/2025</c:v>
                </c:pt>
              </c:strCache>
            </c:strRef>
          </c:tx>
          <c:spPr>
            <a:solidFill>
              <a:schemeClr val="accent1">
                <a:lumMod val="6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Trend'!$H$5:$H$19</c:f>
              <c:numCache>
                <c:formatCode>General</c:formatCode>
                <c:ptCount val="14"/>
                <c:pt idx="8">
                  <c:v>350</c:v>
                </c:pt>
              </c:numCache>
            </c:numRef>
          </c:val>
          <c:extLst>
            <c:ext xmlns:c16="http://schemas.microsoft.com/office/drawing/2014/chart" uri="{C3380CC4-5D6E-409C-BE32-E72D297353CC}">
              <c16:uniqueId val="{00000006-2E17-4DD8-9962-1EFD4690C6F3}"/>
            </c:ext>
          </c:extLst>
        </c:ser>
        <c:ser>
          <c:idx val="7"/>
          <c:order val="7"/>
          <c:tx>
            <c:strRef>
              <c:f>'Monthly Spending Trend'!$I$3:$I$4</c:f>
              <c:strCache>
                <c:ptCount val="1"/>
                <c:pt idx="0">
                  <c:v>1/16/2025</c:v>
                </c:pt>
              </c:strCache>
            </c:strRef>
          </c:tx>
          <c:spPr>
            <a:solidFill>
              <a:schemeClr val="accent2">
                <a:lumMod val="6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Trend'!$I$5:$I$19</c:f>
              <c:numCache>
                <c:formatCode>General</c:formatCode>
                <c:ptCount val="14"/>
                <c:pt idx="12">
                  <c:v>900</c:v>
                </c:pt>
              </c:numCache>
            </c:numRef>
          </c:val>
          <c:extLst>
            <c:ext xmlns:c16="http://schemas.microsoft.com/office/drawing/2014/chart" uri="{C3380CC4-5D6E-409C-BE32-E72D297353CC}">
              <c16:uniqueId val="{00000007-2E17-4DD8-9962-1EFD4690C6F3}"/>
            </c:ext>
          </c:extLst>
        </c:ser>
        <c:ser>
          <c:idx val="8"/>
          <c:order val="8"/>
          <c:tx>
            <c:strRef>
              <c:f>'Monthly Spending Trend'!$J$3:$J$4</c:f>
              <c:strCache>
                <c:ptCount val="1"/>
                <c:pt idx="0">
                  <c:v>1/17/2025</c:v>
                </c:pt>
              </c:strCache>
            </c:strRef>
          </c:tx>
          <c:spPr>
            <a:solidFill>
              <a:schemeClr val="accent3">
                <a:lumMod val="6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Trend'!$J$5:$J$19</c:f>
              <c:numCache>
                <c:formatCode>General</c:formatCode>
                <c:ptCount val="14"/>
                <c:pt idx="4">
                  <c:v>280</c:v>
                </c:pt>
              </c:numCache>
            </c:numRef>
          </c:val>
          <c:extLst>
            <c:ext xmlns:c16="http://schemas.microsoft.com/office/drawing/2014/chart" uri="{C3380CC4-5D6E-409C-BE32-E72D297353CC}">
              <c16:uniqueId val="{00000008-2E17-4DD8-9962-1EFD4690C6F3}"/>
            </c:ext>
          </c:extLst>
        </c:ser>
        <c:ser>
          <c:idx val="9"/>
          <c:order val="9"/>
          <c:tx>
            <c:strRef>
              <c:f>'Monthly Spending Trend'!$K$3:$K$4</c:f>
              <c:strCache>
                <c:ptCount val="1"/>
                <c:pt idx="0">
                  <c:v>1/18/2025</c:v>
                </c:pt>
              </c:strCache>
            </c:strRef>
          </c:tx>
          <c:spPr>
            <a:solidFill>
              <a:schemeClr val="accent4">
                <a:lumMod val="6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Trend'!$K$5:$K$19</c:f>
              <c:numCache>
                <c:formatCode>General</c:formatCode>
                <c:ptCount val="14"/>
                <c:pt idx="3">
                  <c:v>450</c:v>
                </c:pt>
              </c:numCache>
            </c:numRef>
          </c:val>
          <c:extLst>
            <c:ext xmlns:c16="http://schemas.microsoft.com/office/drawing/2014/chart" uri="{C3380CC4-5D6E-409C-BE32-E72D297353CC}">
              <c16:uniqueId val="{00000009-2E17-4DD8-9962-1EFD4690C6F3}"/>
            </c:ext>
          </c:extLst>
        </c:ser>
        <c:ser>
          <c:idx val="10"/>
          <c:order val="10"/>
          <c:tx>
            <c:strRef>
              <c:f>'Monthly Spending Trend'!$L$3:$L$4</c:f>
              <c:strCache>
                <c:ptCount val="1"/>
                <c:pt idx="0">
                  <c:v>1/19/2025</c:v>
                </c:pt>
              </c:strCache>
            </c:strRef>
          </c:tx>
          <c:spPr>
            <a:solidFill>
              <a:schemeClr val="accent5">
                <a:lumMod val="6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Trend'!$L$5:$L$19</c:f>
              <c:numCache>
                <c:formatCode>General</c:formatCode>
                <c:ptCount val="14"/>
                <c:pt idx="13">
                  <c:v>999</c:v>
                </c:pt>
              </c:numCache>
            </c:numRef>
          </c:val>
          <c:extLst>
            <c:ext xmlns:c16="http://schemas.microsoft.com/office/drawing/2014/chart" uri="{C3380CC4-5D6E-409C-BE32-E72D297353CC}">
              <c16:uniqueId val="{0000000A-2E17-4DD8-9962-1EFD4690C6F3}"/>
            </c:ext>
          </c:extLst>
        </c:ser>
        <c:ser>
          <c:idx val="11"/>
          <c:order val="11"/>
          <c:tx>
            <c:strRef>
              <c:f>'Monthly Spending Trend'!$M$3:$M$4</c:f>
              <c:strCache>
                <c:ptCount val="1"/>
                <c:pt idx="0">
                  <c:v>1/2/2025</c:v>
                </c:pt>
              </c:strCache>
            </c:strRef>
          </c:tx>
          <c:spPr>
            <a:solidFill>
              <a:schemeClr val="accent6">
                <a:lumMod val="6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Trend'!$M$5:$M$19</c:f>
              <c:numCache>
                <c:formatCode>General</c:formatCode>
                <c:ptCount val="14"/>
                <c:pt idx="4">
                  <c:v>2300</c:v>
                </c:pt>
              </c:numCache>
            </c:numRef>
          </c:val>
          <c:extLst>
            <c:ext xmlns:c16="http://schemas.microsoft.com/office/drawing/2014/chart" uri="{C3380CC4-5D6E-409C-BE32-E72D297353CC}">
              <c16:uniqueId val="{0000000B-2E17-4DD8-9962-1EFD4690C6F3}"/>
            </c:ext>
          </c:extLst>
        </c:ser>
        <c:ser>
          <c:idx val="12"/>
          <c:order val="12"/>
          <c:tx>
            <c:strRef>
              <c:f>'Monthly Spending Trend'!$N$3:$N$4</c:f>
              <c:strCache>
                <c:ptCount val="1"/>
                <c:pt idx="0">
                  <c:v>1/20/2025</c:v>
                </c:pt>
              </c:strCache>
            </c:strRef>
          </c:tx>
          <c:spPr>
            <a:solidFill>
              <a:schemeClr val="accent1">
                <a:lumMod val="80000"/>
                <a:lumOff val="2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Trend'!$N$5:$N$19</c:f>
              <c:numCache>
                <c:formatCode>General</c:formatCode>
                <c:ptCount val="14"/>
                <c:pt idx="7">
                  <c:v>2000</c:v>
                </c:pt>
              </c:numCache>
            </c:numRef>
          </c:val>
          <c:extLst>
            <c:ext xmlns:c16="http://schemas.microsoft.com/office/drawing/2014/chart" uri="{C3380CC4-5D6E-409C-BE32-E72D297353CC}">
              <c16:uniqueId val="{0000000C-2E17-4DD8-9962-1EFD4690C6F3}"/>
            </c:ext>
          </c:extLst>
        </c:ser>
        <c:ser>
          <c:idx val="13"/>
          <c:order val="13"/>
          <c:tx>
            <c:strRef>
              <c:f>'Monthly Spending Trend'!$O$3:$O$4</c:f>
              <c:strCache>
                <c:ptCount val="1"/>
                <c:pt idx="0">
                  <c:v>1/21/2025</c:v>
                </c:pt>
              </c:strCache>
            </c:strRef>
          </c:tx>
          <c:spPr>
            <a:solidFill>
              <a:schemeClr val="accent2">
                <a:lumMod val="80000"/>
                <a:lumOff val="2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Trend'!$O$5:$O$19</c:f>
              <c:numCache>
                <c:formatCode>General</c:formatCode>
                <c:ptCount val="14"/>
                <c:pt idx="6">
                  <c:v>1000</c:v>
                </c:pt>
              </c:numCache>
            </c:numRef>
          </c:val>
          <c:extLst>
            <c:ext xmlns:c16="http://schemas.microsoft.com/office/drawing/2014/chart" uri="{C3380CC4-5D6E-409C-BE32-E72D297353CC}">
              <c16:uniqueId val="{0000000D-2E17-4DD8-9962-1EFD4690C6F3}"/>
            </c:ext>
          </c:extLst>
        </c:ser>
        <c:ser>
          <c:idx val="14"/>
          <c:order val="14"/>
          <c:tx>
            <c:strRef>
              <c:f>'Monthly Spending Trend'!$P$3:$P$4</c:f>
              <c:strCache>
                <c:ptCount val="1"/>
                <c:pt idx="0">
                  <c:v>1/22/2025</c:v>
                </c:pt>
              </c:strCache>
            </c:strRef>
          </c:tx>
          <c:spPr>
            <a:solidFill>
              <a:schemeClr val="accent3">
                <a:lumMod val="80000"/>
                <a:lumOff val="2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Trend'!$P$5:$P$19</c:f>
              <c:numCache>
                <c:formatCode>General</c:formatCode>
                <c:ptCount val="14"/>
                <c:pt idx="10">
                  <c:v>1400</c:v>
                </c:pt>
              </c:numCache>
            </c:numRef>
          </c:val>
          <c:extLst>
            <c:ext xmlns:c16="http://schemas.microsoft.com/office/drawing/2014/chart" uri="{C3380CC4-5D6E-409C-BE32-E72D297353CC}">
              <c16:uniqueId val="{0000000E-2E17-4DD8-9962-1EFD4690C6F3}"/>
            </c:ext>
          </c:extLst>
        </c:ser>
        <c:ser>
          <c:idx val="15"/>
          <c:order val="15"/>
          <c:tx>
            <c:strRef>
              <c:f>'Monthly Spending Trend'!$Q$3:$Q$4</c:f>
              <c:strCache>
                <c:ptCount val="1"/>
                <c:pt idx="0">
                  <c:v>1/23/2025</c:v>
                </c:pt>
              </c:strCache>
            </c:strRef>
          </c:tx>
          <c:spPr>
            <a:solidFill>
              <a:schemeClr val="accent4">
                <a:lumMod val="80000"/>
                <a:lumOff val="2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Trend'!$Q$5:$Q$19</c:f>
              <c:numCache>
                <c:formatCode>General</c:formatCode>
                <c:ptCount val="14"/>
                <c:pt idx="4">
                  <c:v>110</c:v>
                </c:pt>
              </c:numCache>
            </c:numRef>
          </c:val>
          <c:extLst>
            <c:ext xmlns:c16="http://schemas.microsoft.com/office/drawing/2014/chart" uri="{C3380CC4-5D6E-409C-BE32-E72D297353CC}">
              <c16:uniqueId val="{0000000F-2E17-4DD8-9962-1EFD4690C6F3}"/>
            </c:ext>
          </c:extLst>
        </c:ser>
        <c:ser>
          <c:idx val="16"/>
          <c:order val="16"/>
          <c:tx>
            <c:strRef>
              <c:f>'Monthly Spending Trend'!$R$3:$R$4</c:f>
              <c:strCache>
                <c:ptCount val="1"/>
                <c:pt idx="0">
                  <c:v>1/24/2025</c:v>
                </c:pt>
              </c:strCache>
            </c:strRef>
          </c:tx>
          <c:spPr>
            <a:solidFill>
              <a:schemeClr val="accent5">
                <a:lumMod val="80000"/>
                <a:lumOff val="2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Trend'!$R$5:$R$19</c:f>
              <c:numCache>
                <c:formatCode>General</c:formatCode>
                <c:ptCount val="14"/>
                <c:pt idx="11">
                  <c:v>600</c:v>
                </c:pt>
              </c:numCache>
            </c:numRef>
          </c:val>
          <c:extLst>
            <c:ext xmlns:c16="http://schemas.microsoft.com/office/drawing/2014/chart" uri="{C3380CC4-5D6E-409C-BE32-E72D297353CC}">
              <c16:uniqueId val="{00000010-2E17-4DD8-9962-1EFD4690C6F3}"/>
            </c:ext>
          </c:extLst>
        </c:ser>
        <c:ser>
          <c:idx val="17"/>
          <c:order val="17"/>
          <c:tx>
            <c:strRef>
              <c:f>'Monthly Spending Trend'!$S$3:$S$4</c:f>
              <c:strCache>
                <c:ptCount val="1"/>
                <c:pt idx="0">
                  <c:v>1/25/2025</c:v>
                </c:pt>
              </c:strCache>
            </c:strRef>
          </c:tx>
          <c:spPr>
            <a:solidFill>
              <a:schemeClr val="accent6">
                <a:lumMod val="80000"/>
                <a:lumOff val="2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Trend'!$S$5:$S$19</c:f>
              <c:numCache>
                <c:formatCode>General</c:formatCode>
                <c:ptCount val="14"/>
                <c:pt idx="0">
                  <c:v>800</c:v>
                </c:pt>
              </c:numCache>
            </c:numRef>
          </c:val>
          <c:extLst>
            <c:ext xmlns:c16="http://schemas.microsoft.com/office/drawing/2014/chart" uri="{C3380CC4-5D6E-409C-BE32-E72D297353CC}">
              <c16:uniqueId val="{00000011-2E17-4DD8-9962-1EFD4690C6F3}"/>
            </c:ext>
          </c:extLst>
        </c:ser>
        <c:ser>
          <c:idx val="18"/>
          <c:order val="18"/>
          <c:tx>
            <c:strRef>
              <c:f>'Monthly Spending Trend'!$T$3:$T$4</c:f>
              <c:strCache>
                <c:ptCount val="1"/>
                <c:pt idx="0">
                  <c:v>1/3/2025</c:v>
                </c:pt>
              </c:strCache>
            </c:strRef>
          </c:tx>
          <c:spPr>
            <a:solidFill>
              <a:schemeClr val="accent1">
                <a:lumMod val="8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Trend'!$T$5:$T$19</c:f>
              <c:numCache>
                <c:formatCode>General</c:formatCode>
                <c:ptCount val="14"/>
                <c:pt idx="11">
                  <c:v>250</c:v>
                </c:pt>
              </c:numCache>
            </c:numRef>
          </c:val>
          <c:extLst>
            <c:ext xmlns:c16="http://schemas.microsoft.com/office/drawing/2014/chart" uri="{C3380CC4-5D6E-409C-BE32-E72D297353CC}">
              <c16:uniqueId val="{00000012-2E17-4DD8-9962-1EFD4690C6F3}"/>
            </c:ext>
          </c:extLst>
        </c:ser>
        <c:ser>
          <c:idx val="19"/>
          <c:order val="19"/>
          <c:tx>
            <c:strRef>
              <c:f>'Monthly Spending Trend'!$U$3:$U$4</c:f>
              <c:strCache>
                <c:ptCount val="1"/>
                <c:pt idx="0">
                  <c:v>1/4/2025</c:v>
                </c:pt>
              </c:strCache>
            </c:strRef>
          </c:tx>
          <c:spPr>
            <a:solidFill>
              <a:schemeClr val="accent2">
                <a:lumMod val="8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Trend'!$U$5:$U$19</c:f>
              <c:numCache>
                <c:formatCode>General</c:formatCode>
                <c:ptCount val="14"/>
                <c:pt idx="3">
                  <c:v>499</c:v>
                </c:pt>
              </c:numCache>
            </c:numRef>
          </c:val>
          <c:extLst>
            <c:ext xmlns:c16="http://schemas.microsoft.com/office/drawing/2014/chart" uri="{C3380CC4-5D6E-409C-BE32-E72D297353CC}">
              <c16:uniqueId val="{00000013-2E17-4DD8-9962-1EFD4690C6F3}"/>
            </c:ext>
          </c:extLst>
        </c:ser>
        <c:ser>
          <c:idx val="20"/>
          <c:order val="20"/>
          <c:tx>
            <c:strRef>
              <c:f>'Monthly Spending Trend'!$V$3:$V$4</c:f>
              <c:strCache>
                <c:ptCount val="1"/>
                <c:pt idx="0">
                  <c:v>1/5/2025</c:v>
                </c:pt>
              </c:strCache>
            </c:strRef>
          </c:tx>
          <c:spPr>
            <a:solidFill>
              <a:schemeClr val="accent3">
                <a:lumMod val="8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Trend'!$V$5:$V$19</c:f>
              <c:numCache>
                <c:formatCode>General</c:formatCode>
                <c:ptCount val="14"/>
                <c:pt idx="13">
                  <c:v>1800</c:v>
                </c:pt>
              </c:numCache>
            </c:numRef>
          </c:val>
          <c:extLst>
            <c:ext xmlns:c16="http://schemas.microsoft.com/office/drawing/2014/chart" uri="{C3380CC4-5D6E-409C-BE32-E72D297353CC}">
              <c16:uniqueId val="{00000014-2E17-4DD8-9962-1EFD4690C6F3}"/>
            </c:ext>
          </c:extLst>
        </c:ser>
        <c:ser>
          <c:idx val="21"/>
          <c:order val="21"/>
          <c:tx>
            <c:strRef>
              <c:f>'Monthly Spending Trend'!$W$3:$W$4</c:f>
              <c:strCache>
                <c:ptCount val="1"/>
                <c:pt idx="0">
                  <c:v>1/6/2025</c:v>
                </c:pt>
              </c:strCache>
            </c:strRef>
          </c:tx>
          <c:spPr>
            <a:solidFill>
              <a:schemeClr val="accent4">
                <a:lumMod val="8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Trend'!$W$5:$W$19</c:f>
              <c:numCache>
                <c:formatCode>General</c:formatCode>
                <c:ptCount val="14"/>
                <c:pt idx="4">
                  <c:v>360</c:v>
                </c:pt>
              </c:numCache>
            </c:numRef>
          </c:val>
          <c:extLst>
            <c:ext xmlns:c16="http://schemas.microsoft.com/office/drawing/2014/chart" uri="{C3380CC4-5D6E-409C-BE32-E72D297353CC}">
              <c16:uniqueId val="{00000015-2E17-4DD8-9962-1EFD4690C6F3}"/>
            </c:ext>
          </c:extLst>
        </c:ser>
        <c:ser>
          <c:idx val="22"/>
          <c:order val="22"/>
          <c:tx>
            <c:strRef>
              <c:f>'Monthly Spending Trend'!$X$3:$X$4</c:f>
              <c:strCache>
                <c:ptCount val="1"/>
                <c:pt idx="0">
                  <c:v>1/7/2025</c:v>
                </c:pt>
              </c:strCache>
            </c:strRef>
          </c:tx>
          <c:spPr>
            <a:solidFill>
              <a:schemeClr val="accent5">
                <a:lumMod val="8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Trend'!$X$5:$X$19</c:f>
              <c:numCache>
                <c:formatCode>General</c:formatCode>
                <c:ptCount val="14"/>
                <c:pt idx="7">
                  <c:v>420</c:v>
                </c:pt>
              </c:numCache>
            </c:numRef>
          </c:val>
          <c:extLst>
            <c:ext xmlns:c16="http://schemas.microsoft.com/office/drawing/2014/chart" uri="{C3380CC4-5D6E-409C-BE32-E72D297353CC}">
              <c16:uniqueId val="{00000016-2E17-4DD8-9962-1EFD4690C6F3}"/>
            </c:ext>
          </c:extLst>
        </c:ser>
        <c:ser>
          <c:idx val="23"/>
          <c:order val="23"/>
          <c:tx>
            <c:strRef>
              <c:f>'Monthly Spending Trend'!$Y$3:$Y$4</c:f>
              <c:strCache>
                <c:ptCount val="1"/>
                <c:pt idx="0">
                  <c:v>1/8/2025</c:v>
                </c:pt>
              </c:strCache>
            </c:strRef>
          </c:tx>
          <c:spPr>
            <a:solidFill>
              <a:schemeClr val="accent6">
                <a:lumMod val="8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Trend'!$Y$5:$Y$19</c:f>
              <c:numCache>
                <c:formatCode>General</c:formatCode>
                <c:ptCount val="14"/>
                <c:pt idx="5">
                  <c:v>6000</c:v>
                </c:pt>
              </c:numCache>
            </c:numRef>
          </c:val>
          <c:extLst>
            <c:ext xmlns:c16="http://schemas.microsoft.com/office/drawing/2014/chart" uri="{C3380CC4-5D6E-409C-BE32-E72D297353CC}">
              <c16:uniqueId val="{00000017-2E17-4DD8-9962-1EFD4690C6F3}"/>
            </c:ext>
          </c:extLst>
        </c:ser>
        <c:ser>
          <c:idx val="24"/>
          <c:order val="24"/>
          <c:tx>
            <c:strRef>
              <c:f>'Monthly Spending Trend'!$Z$3:$Z$4</c:f>
              <c:strCache>
                <c:ptCount val="1"/>
                <c:pt idx="0">
                  <c:v>1/9/2025</c:v>
                </c:pt>
              </c:strCache>
            </c:strRef>
          </c:tx>
          <c:spPr>
            <a:solidFill>
              <a:schemeClr val="accent1">
                <a:lumMod val="60000"/>
                <a:lumOff val="4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Trend'!$Z$5:$Z$19</c:f>
              <c:numCache>
                <c:formatCode>General</c:formatCode>
                <c:ptCount val="14"/>
                <c:pt idx="10">
                  <c:v>799</c:v>
                </c:pt>
              </c:numCache>
            </c:numRef>
          </c:val>
          <c:extLst>
            <c:ext xmlns:c16="http://schemas.microsoft.com/office/drawing/2014/chart" uri="{C3380CC4-5D6E-409C-BE32-E72D297353CC}">
              <c16:uniqueId val="{00000018-2E17-4DD8-9962-1EFD4690C6F3}"/>
            </c:ext>
          </c:extLst>
        </c:ser>
        <c:ser>
          <c:idx val="25"/>
          <c:order val="25"/>
          <c:tx>
            <c:strRef>
              <c:f>'Monthly Spending Trend'!$AA$3:$AA$4</c:f>
              <c:strCache>
                <c:ptCount val="1"/>
                <c:pt idx="0">
                  <c:v>14-11-2025</c:v>
                </c:pt>
              </c:strCache>
            </c:strRef>
          </c:tx>
          <c:spPr>
            <a:solidFill>
              <a:schemeClr val="accent2">
                <a:lumMod val="60000"/>
                <a:lumOff val="40000"/>
              </a:schemeClr>
            </a:solidFill>
            <a:ln w="25400">
              <a:noFill/>
            </a:ln>
            <a:effectLst/>
          </c:spPr>
          <c:cat>
            <c:strRef>
              <c:f>'Monthly Spending Trend'!$A$5:$A$19</c:f>
              <c:strCache>
                <c:ptCount val="14"/>
                <c:pt idx="0">
                  <c:v>Bills</c:v>
                </c:pt>
                <c:pt idx="1">
                  <c:v>Cashback</c:v>
                </c:pt>
                <c:pt idx="2">
                  <c:v>Education</c:v>
                </c:pt>
                <c:pt idx="3">
                  <c:v>Entertainment</c:v>
                </c:pt>
                <c:pt idx="4">
                  <c:v>Food</c:v>
                </c:pt>
                <c:pt idx="5">
                  <c:v>Freelance</c:v>
                </c:pt>
                <c:pt idx="6">
                  <c:v>Gift</c:v>
                </c:pt>
                <c:pt idx="7">
                  <c:v>Health</c:v>
                </c:pt>
                <c:pt idx="8">
                  <c:v>Household</c:v>
                </c:pt>
                <c:pt idx="9">
                  <c:v>Salary</c:v>
                </c:pt>
                <c:pt idx="10">
                  <c:v>Shopping</c:v>
                </c:pt>
                <c:pt idx="11">
                  <c:v>Transport</c:v>
                </c:pt>
                <c:pt idx="12">
                  <c:v>Travel</c:v>
                </c:pt>
                <c:pt idx="13">
                  <c:v>Utilities</c:v>
                </c:pt>
              </c:strCache>
            </c:strRef>
          </c:cat>
          <c:val>
            <c:numRef>
              <c:f>'Monthly Spending Trend'!$AA$5:$AA$19</c:f>
              <c:numCache>
                <c:formatCode>General</c:formatCode>
                <c:ptCount val="14"/>
                <c:pt idx="4">
                  <c:v>500</c:v>
                </c:pt>
              </c:numCache>
            </c:numRef>
          </c:val>
          <c:extLst>
            <c:ext xmlns:c16="http://schemas.microsoft.com/office/drawing/2014/chart" uri="{C3380CC4-5D6E-409C-BE32-E72D297353CC}">
              <c16:uniqueId val="{00000019-2E17-4DD8-9962-1EFD4690C6F3}"/>
            </c:ext>
          </c:extLst>
        </c:ser>
        <c:dLbls>
          <c:showLegendKey val="0"/>
          <c:showVal val="0"/>
          <c:showCatName val="0"/>
          <c:showSerName val="0"/>
          <c:showPercent val="0"/>
          <c:showBubbleSize val="0"/>
        </c:dLbls>
        <c:axId val="307826383"/>
        <c:axId val="307823023"/>
      </c:areaChart>
      <c:catAx>
        <c:axId val="3078263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07823023"/>
        <c:crosses val="autoZero"/>
        <c:auto val="1"/>
        <c:lblAlgn val="ctr"/>
        <c:lblOffset val="100"/>
        <c:noMultiLvlLbl val="0"/>
      </c:catAx>
      <c:valAx>
        <c:axId val="30782302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0782638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25400" dist="12700" dir="2700000" algn="tl" rotWithShape="0">
        <a:prstClr val="black">
          <a:alpha val="40000"/>
        </a:prstClr>
      </a:outerShdw>
      <a:softEdge rad="114300"/>
    </a:effectLst>
    <a:scene3d>
      <a:camera prst="orthographicFront"/>
      <a:lightRig rig="threePt" dir="t"/>
    </a:scene3d>
    <a:sp3d>
      <a:bevelB/>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EXPENSE TRACKOR.xlsm]PAYMENT METHOD!PivotTable1</c:name>
    <c:fmtId val="26"/>
  </c:pivotSource>
  <c:chart>
    <c:title>
      <c:tx>
        <c:rich>
          <a:bodyPr rot="0" spcFirstLastPara="1" vertOverflow="ellipsis" vert="horz" wrap="square" anchor="ctr" anchorCtr="1"/>
          <a:lstStyle/>
          <a:p>
            <a:pPr algn="ctr" rtl="0">
              <a:defRPr lang="en-US" sz="16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r>
              <a:rPr lang="en-US" sz="1600" b="1" i="0" u="none" strike="noStrike" kern="1200" baseline="0">
                <a:solidFill>
                  <a:sysClr val="windowText" lastClr="000000"/>
                </a:solidFill>
                <a:latin typeface="Segoe UI" panose="020B0502040204020203" pitchFamily="34" charset="0"/>
                <a:ea typeface="+mn-ea"/>
                <a:cs typeface="Segoe UI" panose="020B0502040204020203" pitchFamily="34" charset="0"/>
              </a:rPr>
              <a:t>Payment Mode</a:t>
            </a:r>
          </a:p>
        </c:rich>
      </c:tx>
      <c:layout>
        <c:manualLayout>
          <c:xMode val="edge"/>
          <c:yMode val="edge"/>
          <c:x val="0.22075162847648275"/>
          <c:y val="4.109612486476797E-2"/>
        </c:manualLayout>
      </c:layout>
      <c:overlay val="0"/>
      <c:spPr>
        <a:noFill/>
        <a:ln>
          <a:noFill/>
        </a:ln>
        <a:effectLst/>
      </c:spPr>
      <c:txPr>
        <a:bodyPr rot="0" spcFirstLastPara="1" vertOverflow="ellipsis" vert="horz" wrap="square" anchor="ctr" anchorCtr="1"/>
        <a:lstStyle/>
        <a:p>
          <a:pPr algn="ctr" rtl="0">
            <a:defRPr lang="en-US" sz="1600" b="1"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1"/>
          </a:solidFill>
          <a:ln>
            <a:noFill/>
          </a:ln>
          <a:effectLst>
            <a:outerShdw blurRad="317500" algn="ctr" rotWithShape="0">
              <a:prstClr val="black">
                <a:alpha val="25000"/>
              </a:prstClr>
            </a:outerShdw>
          </a:effectLst>
        </c:spPr>
      </c:pivotFmt>
      <c:pivotFmt>
        <c:idx val="28"/>
        <c:spPr>
          <a:solidFill>
            <a:schemeClr val="accent1"/>
          </a:solidFill>
          <a:ln>
            <a:noFill/>
          </a:ln>
          <a:effectLst>
            <a:outerShdw blurRad="317500" algn="ctr" rotWithShape="0">
              <a:prstClr val="black">
                <a:alpha val="25000"/>
              </a:prstClr>
            </a:outerShdw>
          </a:effectLst>
        </c:spPr>
      </c:pivotFmt>
      <c:pivotFmt>
        <c:idx val="29"/>
        <c:spPr>
          <a:solidFill>
            <a:schemeClr val="accent1"/>
          </a:solidFill>
          <a:ln>
            <a:noFill/>
          </a:ln>
          <a:effectLst>
            <a:outerShdw blurRad="317500" algn="ctr" rotWithShape="0">
              <a:prstClr val="black">
                <a:alpha val="25000"/>
              </a:prstClr>
            </a:outerShdw>
          </a:effectLst>
        </c:spPr>
      </c:pivotFmt>
      <c:pivotFmt>
        <c:idx val="30"/>
        <c:spPr>
          <a:solidFill>
            <a:schemeClr val="accent1"/>
          </a:solidFill>
          <a:ln>
            <a:noFill/>
          </a:ln>
          <a:effectLst>
            <a:outerShdw blurRad="317500" algn="ctr" rotWithShape="0">
              <a:prstClr val="black">
                <a:alpha val="25000"/>
              </a:prstClr>
            </a:outerShdw>
          </a:effectLst>
        </c:spPr>
      </c:pivotFmt>
      <c:pivotFmt>
        <c:idx val="3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a:outerShdw blurRad="317500" algn="ctr" rotWithShape="0">
              <a:prstClr val="black">
                <a:alpha val="25000"/>
              </a:prstClr>
            </a:outerShdw>
          </a:effectLst>
        </c:spPr>
      </c:pivotFmt>
      <c:pivotFmt>
        <c:idx val="33"/>
        <c:spPr>
          <a:solidFill>
            <a:schemeClr val="accent1"/>
          </a:solidFill>
          <a:ln>
            <a:noFill/>
          </a:ln>
          <a:effectLst>
            <a:outerShdw blurRad="317500" algn="ctr" rotWithShape="0">
              <a:prstClr val="black">
                <a:alpha val="25000"/>
              </a:prstClr>
            </a:outerShdw>
          </a:effectLst>
        </c:spPr>
      </c:pivotFmt>
      <c:pivotFmt>
        <c:idx val="34"/>
        <c:spPr>
          <a:solidFill>
            <a:schemeClr val="accent1"/>
          </a:solidFill>
          <a:ln>
            <a:noFill/>
          </a:ln>
          <a:effectLst>
            <a:outerShdw blurRad="317500" algn="ctr" rotWithShape="0">
              <a:prstClr val="black">
                <a:alpha val="25000"/>
              </a:prstClr>
            </a:outerShdw>
          </a:effectLst>
        </c:spPr>
      </c:pivotFmt>
      <c:pivotFmt>
        <c:idx val="35"/>
        <c:spPr>
          <a:solidFill>
            <a:schemeClr val="accent1"/>
          </a:solidFill>
          <a:ln>
            <a:noFill/>
          </a:ln>
          <a:effectLst>
            <a:outerShdw blurRad="317500" algn="ctr" rotWithShape="0">
              <a:prstClr val="black">
                <a:alpha val="25000"/>
              </a:prstClr>
            </a:outerShdw>
          </a:effectLst>
        </c:spPr>
      </c:pivotFmt>
      <c:pivotFmt>
        <c:idx val="3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ln>
          <a:effectLst>
            <a:outerShdw blurRad="317500" algn="ctr" rotWithShape="0">
              <a:prstClr val="black">
                <a:alpha val="25000"/>
              </a:prstClr>
            </a:outerShdw>
          </a:effectLst>
        </c:spPr>
      </c:pivotFmt>
      <c:pivotFmt>
        <c:idx val="38"/>
        <c:spPr>
          <a:solidFill>
            <a:schemeClr val="accent1"/>
          </a:solidFill>
          <a:ln>
            <a:noFill/>
          </a:ln>
          <a:effectLst>
            <a:outerShdw blurRad="317500" algn="ctr" rotWithShape="0">
              <a:prstClr val="black">
                <a:alpha val="25000"/>
              </a:prstClr>
            </a:outerShdw>
          </a:effectLst>
        </c:spPr>
      </c:pivotFmt>
      <c:pivotFmt>
        <c:idx val="39"/>
        <c:spPr>
          <a:solidFill>
            <a:schemeClr val="accent1"/>
          </a:solidFill>
          <a:ln>
            <a:noFill/>
          </a:ln>
          <a:effectLst>
            <a:outerShdw blurRad="317500" algn="ctr" rotWithShape="0">
              <a:prstClr val="black">
                <a:alpha val="25000"/>
              </a:prstClr>
            </a:outerShdw>
          </a:effectLst>
        </c:spPr>
      </c:pivotFmt>
      <c:pivotFmt>
        <c:idx val="40"/>
        <c:spPr>
          <a:solidFill>
            <a:schemeClr val="accent1"/>
          </a:solidFill>
          <a:ln>
            <a:noFill/>
          </a:ln>
          <a:effectLst>
            <a:outerShdw blurRad="317500" algn="ctr" rotWithShape="0">
              <a:prstClr val="black">
                <a:alpha val="25000"/>
              </a:prstClr>
            </a:outerShdw>
          </a:effectLst>
        </c:spPr>
      </c:pivotFmt>
      <c:pivotFmt>
        <c:idx val="4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a:outerShdw blurRad="317500" algn="ctr" rotWithShape="0">
              <a:prstClr val="black">
                <a:alpha val="25000"/>
              </a:prstClr>
            </a:outerShdw>
          </a:effectLst>
        </c:spPr>
      </c:pivotFmt>
      <c:pivotFmt>
        <c:idx val="43"/>
        <c:spPr>
          <a:solidFill>
            <a:schemeClr val="accent1"/>
          </a:solidFill>
          <a:ln>
            <a:noFill/>
          </a:ln>
          <a:effectLst>
            <a:outerShdw blurRad="317500" algn="ctr" rotWithShape="0">
              <a:prstClr val="black">
                <a:alpha val="25000"/>
              </a:prstClr>
            </a:outerShdw>
          </a:effectLst>
        </c:spPr>
      </c:pivotFmt>
      <c:pivotFmt>
        <c:idx val="44"/>
        <c:spPr>
          <a:solidFill>
            <a:schemeClr val="accent1"/>
          </a:solidFill>
          <a:ln>
            <a:noFill/>
          </a:ln>
          <a:effectLst>
            <a:outerShdw blurRad="317500" algn="ctr" rotWithShape="0">
              <a:prstClr val="black">
                <a:alpha val="25000"/>
              </a:prstClr>
            </a:outerShdw>
          </a:effectLst>
        </c:spPr>
      </c:pivotFmt>
      <c:pivotFmt>
        <c:idx val="45"/>
        <c:spPr>
          <a:solidFill>
            <a:schemeClr val="accent1"/>
          </a:solidFill>
          <a:ln>
            <a:noFill/>
          </a:ln>
          <a:effectLst>
            <a:outerShdw blurRad="317500" algn="ctr" rotWithShape="0">
              <a:prstClr val="black">
                <a:alpha val="25000"/>
              </a:prstClr>
            </a:outerShdw>
          </a:effectLst>
        </c:spPr>
      </c:pivotFmt>
      <c:pivotFmt>
        <c:idx val="4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a:outerShdw blurRad="317500" algn="ctr" rotWithShape="0">
              <a:prstClr val="black">
                <a:alpha val="25000"/>
              </a:prstClr>
            </a:outerShdw>
          </a:effectLst>
        </c:spPr>
      </c:pivotFmt>
      <c:pivotFmt>
        <c:idx val="48"/>
        <c:spPr>
          <a:solidFill>
            <a:schemeClr val="accent1"/>
          </a:solidFill>
          <a:ln>
            <a:noFill/>
          </a:ln>
          <a:effectLst>
            <a:outerShdw blurRad="317500" algn="ctr" rotWithShape="0">
              <a:prstClr val="black">
                <a:alpha val="25000"/>
              </a:prstClr>
            </a:outerShdw>
          </a:effectLst>
        </c:spPr>
      </c:pivotFmt>
      <c:pivotFmt>
        <c:idx val="49"/>
        <c:spPr>
          <a:solidFill>
            <a:schemeClr val="accent1"/>
          </a:solidFill>
          <a:ln>
            <a:noFill/>
          </a:ln>
          <a:effectLst>
            <a:outerShdw blurRad="317500" algn="ctr" rotWithShape="0">
              <a:prstClr val="black">
                <a:alpha val="25000"/>
              </a:prstClr>
            </a:outerShdw>
          </a:effectLst>
        </c:spPr>
      </c:pivotFmt>
      <c:pivotFmt>
        <c:idx val="50"/>
        <c:spPr>
          <a:solidFill>
            <a:schemeClr val="accent1"/>
          </a:solidFill>
          <a:ln>
            <a:noFill/>
          </a:ln>
          <a:effectLst>
            <a:outerShdw blurRad="317500" algn="ctr" rotWithShape="0">
              <a:prstClr val="black">
                <a:alpha val="25000"/>
              </a:prstClr>
            </a:outerShdw>
          </a:effectLst>
        </c:spPr>
      </c:pivotFmt>
      <c:pivotFmt>
        <c:idx val="5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a:outerShdw blurRad="317500" algn="ctr" rotWithShape="0">
              <a:prstClr val="black">
                <a:alpha val="25000"/>
              </a:prstClr>
            </a:outerShdw>
          </a:effectLst>
        </c:spPr>
      </c:pivotFmt>
      <c:pivotFmt>
        <c:idx val="53"/>
        <c:spPr>
          <a:solidFill>
            <a:schemeClr val="accent1"/>
          </a:solidFill>
          <a:ln>
            <a:noFill/>
          </a:ln>
          <a:effectLst>
            <a:outerShdw blurRad="317500" algn="ctr" rotWithShape="0">
              <a:prstClr val="black">
                <a:alpha val="25000"/>
              </a:prstClr>
            </a:outerShdw>
          </a:effectLst>
        </c:spPr>
      </c:pivotFmt>
      <c:pivotFmt>
        <c:idx val="54"/>
        <c:spPr>
          <a:solidFill>
            <a:schemeClr val="accent1"/>
          </a:solidFill>
          <a:ln>
            <a:noFill/>
          </a:ln>
          <a:effectLst>
            <a:outerShdw blurRad="317500" algn="ctr" rotWithShape="0">
              <a:prstClr val="black">
                <a:alpha val="25000"/>
              </a:prstClr>
            </a:outerShdw>
          </a:effectLst>
        </c:spPr>
      </c:pivotFmt>
      <c:pivotFmt>
        <c:idx val="55"/>
        <c:spPr>
          <a:solidFill>
            <a:schemeClr val="accent1"/>
          </a:solidFill>
          <a:ln>
            <a:noFill/>
          </a:ln>
          <a:effectLst>
            <a:outerShdw blurRad="317500" algn="ctr" rotWithShape="0">
              <a:prstClr val="black">
                <a:alpha val="25000"/>
              </a:prstClr>
            </a:outerShdw>
          </a:effectLst>
        </c:spPr>
      </c:pivotFmt>
      <c:pivotFmt>
        <c:idx val="5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a:outerShdw blurRad="317500" algn="ctr" rotWithShape="0">
              <a:prstClr val="black">
                <a:alpha val="25000"/>
              </a:prstClr>
            </a:outerShdw>
          </a:effectLst>
        </c:spPr>
      </c:pivotFmt>
      <c:pivotFmt>
        <c:idx val="58"/>
        <c:spPr>
          <a:solidFill>
            <a:schemeClr val="accent1"/>
          </a:solidFill>
          <a:ln>
            <a:noFill/>
          </a:ln>
          <a:effectLst>
            <a:outerShdw blurRad="317500" algn="ctr" rotWithShape="0">
              <a:prstClr val="black">
                <a:alpha val="25000"/>
              </a:prstClr>
            </a:outerShdw>
          </a:effectLst>
        </c:spPr>
      </c:pivotFmt>
      <c:pivotFmt>
        <c:idx val="59"/>
        <c:spPr>
          <a:solidFill>
            <a:schemeClr val="accent1"/>
          </a:solidFill>
          <a:ln>
            <a:noFill/>
          </a:ln>
          <a:effectLst>
            <a:outerShdw blurRad="317500" algn="ctr" rotWithShape="0">
              <a:prstClr val="black">
                <a:alpha val="25000"/>
              </a:prstClr>
            </a:outerShdw>
          </a:effectLst>
        </c:spPr>
      </c:pivotFmt>
      <c:pivotFmt>
        <c:idx val="60"/>
        <c:spPr>
          <a:solidFill>
            <a:schemeClr val="accent1"/>
          </a:solidFill>
          <a:ln>
            <a:noFill/>
          </a:ln>
          <a:effectLst>
            <a:outerShdw blurRad="317500" algn="ctr" rotWithShape="0">
              <a:prstClr val="black">
                <a:alpha val="25000"/>
              </a:prstClr>
            </a:outerShdw>
          </a:effectLst>
        </c:spPr>
      </c:pivotFmt>
      <c:pivotFmt>
        <c:idx val="6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2"/>
        <c:spPr>
          <a:solidFill>
            <a:schemeClr val="accent1"/>
          </a:solidFill>
          <a:ln>
            <a:noFill/>
          </a:ln>
          <a:effectLst>
            <a:outerShdw blurRad="317500" algn="ctr" rotWithShape="0">
              <a:prstClr val="black">
                <a:alpha val="25000"/>
              </a:prstClr>
            </a:outerShdw>
          </a:effectLst>
        </c:spPr>
      </c:pivotFmt>
      <c:pivotFmt>
        <c:idx val="63"/>
        <c:spPr>
          <a:solidFill>
            <a:schemeClr val="accent1"/>
          </a:solidFill>
          <a:ln>
            <a:noFill/>
          </a:ln>
          <a:effectLst>
            <a:outerShdw blurRad="317500" algn="ctr" rotWithShape="0">
              <a:prstClr val="black">
                <a:alpha val="25000"/>
              </a:prstClr>
            </a:outerShdw>
          </a:effectLst>
        </c:spPr>
      </c:pivotFmt>
      <c:pivotFmt>
        <c:idx val="64"/>
        <c:spPr>
          <a:solidFill>
            <a:schemeClr val="accent1"/>
          </a:solidFill>
          <a:ln>
            <a:noFill/>
          </a:ln>
          <a:effectLst>
            <a:outerShdw blurRad="317500" algn="ctr" rotWithShape="0">
              <a:prstClr val="black">
                <a:alpha val="25000"/>
              </a:prstClr>
            </a:outerShdw>
          </a:effectLst>
        </c:spPr>
      </c:pivotFmt>
      <c:pivotFmt>
        <c:idx val="65"/>
        <c:spPr>
          <a:solidFill>
            <a:schemeClr val="accent1"/>
          </a:solidFill>
          <a:ln>
            <a:noFill/>
          </a:ln>
          <a:effectLst>
            <a:outerShdw blurRad="317500" algn="ctr" rotWithShape="0">
              <a:prstClr val="black">
                <a:alpha val="25000"/>
              </a:prstClr>
            </a:outerShdw>
          </a:effectLst>
        </c:spPr>
      </c:pivotFmt>
      <c:pivotFmt>
        <c:idx val="6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7"/>
        <c:spPr>
          <a:solidFill>
            <a:schemeClr val="accent1"/>
          </a:solidFill>
          <a:ln>
            <a:noFill/>
          </a:ln>
          <a:effectLst>
            <a:outerShdw blurRad="317500" algn="ctr" rotWithShape="0">
              <a:prstClr val="black">
                <a:alpha val="25000"/>
              </a:prstClr>
            </a:outerShdw>
          </a:effectLst>
        </c:spPr>
      </c:pivotFmt>
      <c:pivotFmt>
        <c:idx val="68"/>
        <c:spPr>
          <a:solidFill>
            <a:schemeClr val="accent1"/>
          </a:solidFill>
          <a:ln>
            <a:noFill/>
          </a:ln>
          <a:effectLst>
            <a:outerShdw blurRad="317500" algn="ctr" rotWithShape="0">
              <a:prstClr val="black">
                <a:alpha val="25000"/>
              </a:prstClr>
            </a:outerShdw>
          </a:effectLst>
        </c:spPr>
      </c:pivotFmt>
      <c:pivotFmt>
        <c:idx val="69"/>
        <c:spPr>
          <a:solidFill>
            <a:schemeClr val="accent1"/>
          </a:solidFill>
          <a:ln>
            <a:noFill/>
          </a:ln>
          <a:effectLst>
            <a:outerShdw blurRad="317500" algn="ctr" rotWithShape="0">
              <a:prstClr val="black">
                <a:alpha val="25000"/>
              </a:prstClr>
            </a:outerShdw>
          </a:effectLst>
        </c:spPr>
      </c:pivotFmt>
      <c:pivotFmt>
        <c:idx val="70"/>
        <c:spPr>
          <a:solidFill>
            <a:schemeClr val="accent1"/>
          </a:solidFill>
          <a:ln>
            <a:noFill/>
          </a:ln>
          <a:effectLst>
            <a:outerShdw blurRad="317500" algn="ctr" rotWithShape="0">
              <a:prstClr val="black">
                <a:alpha val="25000"/>
              </a:prstClr>
            </a:outerShdw>
          </a:effectLst>
        </c:spPr>
      </c:pivotFmt>
    </c:pivotFmts>
    <c:plotArea>
      <c:layout/>
      <c:doughnutChart>
        <c:varyColors val="1"/>
        <c:ser>
          <c:idx val="0"/>
          <c:order val="0"/>
          <c:tx>
            <c:strRef>
              <c:f>'PAYMENT METHOD'!$B$3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DCA-493F-A72F-D849FB802DDC}"/>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DCA-493F-A72F-D849FB802DDC}"/>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9DCA-493F-A72F-D849FB802DDC}"/>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9DCA-493F-A72F-D849FB802DDC}"/>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'PAYMENT METHOD'!$A$4:$A$8</c:f>
              <c:strCache>
                <c:ptCount val="4"/>
                <c:pt idx="0">
                  <c:v>Bank Transfer</c:v>
                </c:pt>
                <c:pt idx="1">
                  <c:v>Card</c:v>
                </c:pt>
                <c:pt idx="2">
                  <c:v>Cash</c:v>
                </c:pt>
                <c:pt idx="3">
                  <c:v>UPI</c:v>
                </c:pt>
              </c:strCache>
            </c:strRef>
          </c:cat>
          <c:val>
            <c:numRef>
              <c:f>'PAYMENT METHOD'!$B$4:$B$8</c:f>
              <c:numCache>
                <c:formatCode>General</c:formatCode>
                <c:ptCount val="4"/>
                <c:pt idx="0">
                  <c:v>53799</c:v>
                </c:pt>
                <c:pt idx="1">
                  <c:v>5028</c:v>
                </c:pt>
                <c:pt idx="2">
                  <c:v>5490</c:v>
                </c:pt>
                <c:pt idx="3">
                  <c:v>6149</c:v>
                </c:pt>
              </c:numCache>
            </c:numRef>
          </c:val>
          <c:extLst>
            <c:ext xmlns:c16="http://schemas.microsoft.com/office/drawing/2014/chart" uri="{C3380CC4-5D6E-409C-BE32-E72D297353CC}">
              <c16:uniqueId val="{00000008-9DCA-493F-A72F-D849FB802DDC}"/>
            </c:ext>
          </c:extLst>
        </c:ser>
        <c:dLbls>
          <c:showLegendKey val="0"/>
          <c:showVal val="1"/>
          <c:showCatName val="0"/>
          <c:showSerName val="0"/>
          <c:showPercent val="0"/>
          <c:showBubbleSize val="0"/>
          <c:showLeaderLines val="0"/>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1050" b="1" i="0" u="none" strike="noStrike" kern="1200" baseline="0">
              <a:solidFill>
                <a:schemeClr val="dk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a:glow rad="127000">
        <a:schemeClr val="bg1"/>
      </a:glow>
      <a:outerShdw blurRad="50800" dist="38100" dir="900000" sx="99000" sy="99000" algn="tl" rotWithShape="0">
        <a:schemeClr val="tx1">
          <a:alpha val="40000"/>
        </a:schemeClr>
      </a:outerShdw>
      <a:softEdge rad="114300"/>
    </a:effectLst>
    <a:scene3d>
      <a:camera prst="orthographicFront"/>
      <a:lightRig rig="threePt" dir="t"/>
    </a:scene3d>
    <a:sp3d>
      <a:bevelB/>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102660</xdr:colOff>
      <xdr:row>2</xdr:row>
      <xdr:rowOff>6954</xdr:rowOff>
    </xdr:from>
    <xdr:to>
      <xdr:col>2</xdr:col>
      <xdr:colOff>550701</xdr:colOff>
      <xdr:row>6</xdr:row>
      <xdr:rowOff>135921</xdr:rowOff>
    </xdr:to>
    <xdr:sp macro="[0]!AddData" textlink="">
      <xdr:nvSpPr>
        <xdr:cNvPr id="4" name="Rectangle: Rounded Corners 3">
          <a:extLst>
            <a:ext uri="{FF2B5EF4-FFF2-40B4-BE49-F238E27FC236}">
              <a16:creationId xmlns:a16="http://schemas.microsoft.com/office/drawing/2014/main" id="{02B5C540-0EB9-E5E0-C17D-A2DA8B370982}"/>
            </a:ext>
          </a:extLst>
        </xdr:cNvPr>
        <xdr:cNvSpPr/>
      </xdr:nvSpPr>
      <xdr:spPr>
        <a:xfrm>
          <a:off x="1593042" y="824983"/>
          <a:ext cx="1938424" cy="890967"/>
        </a:xfrm>
        <a:prstGeom prst="roundRect">
          <a:avLst/>
        </a:prstGeom>
        <a:solidFill>
          <a:srgbClr val="1A777C"/>
        </a:solidFill>
        <a:ln>
          <a:noFill/>
        </a:ln>
        <a:effectLst>
          <a:glow rad="63500">
            <a:schemeClr val="accent1">
              <a:satMod val="175000"/>
              <a:alpha val="40000"/>
            </a:schemeClr>
          </a:glow>
          <a:outerShdw blurRad="50800" dist="38100" dir="2700000" algn="tl" rotWithShape="0">
            <a:prstClr val="black">
              <a:alpha val="40000"/>
            </a:prstClr>
          </a:outerShdw>
          <a:softEdge rad="0"/>
        </a:effectLst>
        <a:scene3d>
          <a:camera prst="orthographicFront"/>
          <a:lightRig rig="threePt" dir="t"/>
        </a:scene3d>
        <a:sp3d>
          <a:bevelT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latin typeface="+mj-lt"/>
            </a:rPr>
            <a:t>ADD</a:t>
          </a:r>
          <a:r>
            <a:rPr lang="en-US" sz="1800" b="1" baseline="0">
              <a:latin typeface="+mj-lt"/>
            </a:rPr>
            <a:t> DATA</a:t>
          </a:r>
          <a:endParaRPr lang="en-US" sz="1800" b="1">
            <a:latin typeface="+mj-lt"/>
          </a:endParaRPr>
        </a:p>
      </xdr:txBody>
    </xdr:sp>
    <xdr:clientData/>
  </xdr:twoCellAnchor>
  <xdr:twoCellAnchor editAs="absolute">
    <xdr:from>
      <xdr:col>1</xdr:col>
      <xdr:colOff>103510</xdr:colOff>
      <xdr:row>15</xdr:row>
      <xdr:rowOff>24460</xdr:rowOff>
    </xdr:from>
    <xdr:to>
      <xdr:col>2</xdr:col>
      <xdr:colOff>551551</xdr:colOff>
      <xdr:row>19</xdr:row>
      <xdr:rowOff>162337</xdr:rowOff>
    </xdr:to>
    <xdr:sp macro="[0]!UpdateDashboard" textlink="">
      <xdr:nvSpPr>
        <xdr:cNvPr id="6" name="Rectangle: Rounded Corners 5">
          <a:extLst>
            <a:ext uri="{FF2B5EF4-FFF2-40B4-BE49-F238E27FC236}">
              <a16:creationId xmlns:a16="http://schemas.microsoft.com/office/drawing/2014/main" id="{CFE1F104-1D55-F4EA-A794-90509A3398DE}"/>
            </a:ext>
          </a:extLst>
        </xdr:cNvPr>
        <xdr:cNvSpPr/>
      </xdr:nvSpPr>
      <xdr:spPr>
        <a:xfrm>
          <a:off x="1593892" y="3318989"/>
          <a:ext cx="1938424" cy="899877"/>
        </a:xfrm>
        <a:prstGeom prst="roundRect">
          <a:avLst/>
        </a:prstGeom>
        <a:solidFill>
          <a:srgbClr val="1A777C"/>
        </a:solidFill>
        <a:ln>
          <a:noFill/>
        </a:ln>
        <a:effectLst>
          <a:glow rad="63500">
            <a:schemeClr val="accent1">
              <a:satMod val="175000"/>
              <a:alpha val="40000"/>
            </a:schemeClr>
          </a:glow>
          <a:outerShdw blurRad="50800" dist="38100" dir="2700000" algn="tl" rotWithShape="0">
            <a:prstClr val="black">
              <a:alpha val="40000"/>
            </a:prstClr>
          </a:outerShdw>
          <a:softEdge rad="12700"/>
        </a:effectLst>
        <a:scene3d>
          <a:camera prst="orthographicFront"/>
          <a:lightRig rig="threePt" dir="t"/>
        </a:scene3d>
        <a:sp3d>
          <a:bevelT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UPDATE DASHBOARD</a:t>
          </a:r>
        </a:p>
      </xdr:txBody>
    </xdr:sp>
    <xdr:clientData/>
  </xdr:twoCellAnchor>
  <xdr:twoCellAnchor editAs="absolute">
    <xdr:from>
      <xdr:col>2</xdr:col>
      <xdr:colOff>649941</xdr:colOff>
      <xdr:row>2</xdr:row>
      <xdr:rowOff>2072</xdr:rowOff>
    </xdr:from>
    <xdr:to>
      <xdr:col>4</xdr:col>
      <xdr:colOff>425823</xdr:colOff>
      <xdr:row>10</xdr:row>
      <xdr:rowOff>100854</xdr:rowOff>
    </xdr:to>
    <xdr:sp macro="" textlink="">
      <xdr:nvSpPr>
        <xdr:cNvPr id="7" name="Rectangle: Rounded Corners 6">
          <a:extLst>
            <a:ext uri="{FF2B5EF4-FFF2-40B4-BE49-F238E27FC236}">
              <a16:creationId xmlns:a16="http://schemas.microsoft.com/office/drawing/2014/main" id="{6C3304C9-C6FB-58A3-E66D-DBEAF049A999}"/>
            </a:ext>
          </a:extLst>
        </xdr:cNvPr>
        <xdr:cNvSpPr/>
      </xdr:nvSpPr>
      <xdr:spPr>
        <a:xfrm>
          <a:off x="3630706" y="820101"/>
          <a:ext cx="3092823" cy="1622782"/>
        </a:xfrm>
        <a:prstGeom prst="roundRect">
          <a:avLst>
            <a:gd name="adj" fmla="val 11983"/>
          </a:avLst>
        </a:prstGeom>
        <a:solidFill>
          <a:sysClr val="window" lastClr="FFFFFF"/>
        </a:solidFill>
        <a:ln>
          <a:noFill/>
        </a:ln>
        <a:effectLst>
          <a:outerShdw blurRad="50800" dist="38100" dir="2700000" algn="tl" rotWithShape="0">
            <a:prstClr val="black">
              <a:alpha val="40000"/>
            </a:prstClr>
          </a:outerShdw>
          <a:softEdge rad="63500"/>
        </a:effectLst>
        <a:scene3d>
          <a:camera prst="orthographicFront">
            <a:rot lat="0" lon="0" rev="0"/>
          </a:camera>
          <a:lightRig rig="glow" dir="t">
            <a:rot lat="0" lon="0" rev="4800000"/>
          </a:lightRig>
        </a:scene3d>
        <a:sp3d prstMaterial="matte">
          <a:bevelT w="127000" h="635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2400" b="1">
              <a:solidFill>
                <a:schemeClr val="tx1"/>
              </a:solidFill>
              <a:latin typeface="Segoe UI" panose="020B0502040204020203" pitchFamily="34" charset="0"/>
              <a:ea typeface="+mn-ea"/>
              <a:cs typeface="Segoe UI" panose="020B0502040204020203" pitchFamily="34" charset="0"/>
            </a:rPr>
            <a:t>💰 Total Income</a:t>
          </a:r>
        </a:p>
      </xdr:txBody>
    </xdr:sp>
    <xdr:clientData/>
  </xdr:twoCellAnchor>
  <xdr:twoCellAnchor editAs="absolute">
    <xdr:from>
      <xdr:col>4</xdr:col>
      <xdr:colOff>616324</xdr:colOff>
      <xdr:row>1</xdr:row>
      <xdr:rowOff>134472</xdr:rowOff>
    </xdr:from>
    <xdr:to>
      <xdr:col>6</xdr:col>
      <xdr:colOff>22409</xdr:colOff>
      <xdr:row>10</xdr:row>
      <xdr:rowOff>138890</xdr:rowOff>
    </xdr:to>
    <xdr:sp macro="" textlink="">
      <xdr:nvSpPr>
        <xdr:cNvPr id="8" name="Rectangle: Rounded Corners 7">
          <a:extLst>
            <a:ext uri="{FF2B5EF4-FFF2-40B4-BE49-F238E27FC236}">
              <a16:creationId xmlns:a16="http://schemas.microsoft.com/office/drawing/2014/main" id="{F4A8D523-8E02-3AC8-775F-A2D3C2A95C7D}"/>
            </a:ext>
          </a:extLst>
        </xdr:cNvPr>
        <xdr:cNvSpPr/>
      </xdr:nvSpPr>
      <xdr:spPr>
        <a:xfrm>
          <a:off x="6914030" y="762001"/>
          <a:ext cx="3339350" cy="1718918"/>
        </a:xfrm>
        <a:prstGeom prst="roundRect">
          <a:avLst>
            <a:gd name="adj" fmla="val 11983"/>
          </a:avLst>
        </a:prstGeom>
        <a:solidFill>
          <a:sysClr val="window" lastClr="FFFFFF"/>
        </a:solidFill>
        <a:ln>
          <a:noFill/>
        </a:ln>
        <a:effectLst>
          <a:outerShdw blurRad="50800" dist="38100" dir="2700000" algn="tl" rotWithShape="0">
            <a:prstClr val="black">
              <a:alpha val="40000"/>
            </a:prstClr>
          </a:outerShdw>
          <a:softEdge rad="63500"/>
        </a:effectLst>
        <a:scene3d>
          <a:camera prst="orthographicFront">
            <a:rot lat="0" lon="0" rev="0"/>
          </a:camera>
          <a:lightRig rig="glow" dir="t">
            <a:rot lat="0" lon="0" rev="4800000"/>
          </a:lightRig>
        </a:scene3d>
        <a:sp3d prstMaterial="matte">
          <a:bevelT w="127000" h="635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2400" b="1">
              <a:solidFill>
                <a:schemeClr val="tx1"/>
              </a:solidFill>
              <a:latin typeface="Segoe UI" panose="020B0502040204020203" pitchFamily="34" charset="0"/>
              <a:ea typeface="+mn-ea"/>
              <a:cs typeface="Segoe UI" panose="020B0502040204020203" pitchFamily="34" charset="0"/>
            </a:rPr>
            <a:t>📉 Total Expenses </a:t>
          </a:r>
        </a:p>
        <a:p>
          <a:pPr algn="l"/>
          <a:endParaRPr lang="en-US" sz="1800">
            <a:solidFill>
              <a:schemeClr val="tx1"/>
            </a:solidFill>
            <a:latin typeface="Segoe UI" panose="020B0502040204020203" pitchFamily="34" charset="0"/>
            <a:cs typeface="Segoe UI" panose="020B0502040204020203" pitchFamily="34" charset="0"/>
          </a:endParaRPr>
        </a:p>
      </xdr:txBody>
    </xdr:sp>
    <xdr:clientData/>
  </xdr:twoCellAnchor>
  <xdr:twoCellAnchor editAs="absolute">
    <xdr:from>
      <xdr:col>2</xdr:col>
      <xdr:colOff>796349</xdr:colOff>
      <xdr:row>5</xdr:row>
      <xdr:rowOff>122415</xdr:rowOff>
    </xdr:from>
    <xdr:to>
      <xdr:col>4</xdr:col>
      <xdr:colOff>168089</xdr:colOff>
      <xdr:row>8</xdr:row>
      <xdr:rowOff>156883</xdr:rowOff>
    </xdr:to>
    <xdr:sp macro="" textlink="Values!B1">
      <xdr:nvSpPr>
        <xdr:cNvPr id="9" name="TextBox 8">
          <a:extLst>
            <a:ext uri="{FF2B5EF4-FFF2-40B4-BE49-F238E27FC236}">
              <a16:creationId xmlns:a16="http://schemas.microsoft.com/office/drawing/2014/main" id="{60BE658D-051E-F733-C709-08EEE60EDADA}"/>
            </a:ext>
          </a:extLst>
        </xdr:cNvPr>
        <xdr:cNvSpPr txBox="1"/>
      </xdr:nvSpPr>
      <xdr:spPr>
        <a:xfrm>
          <a:off x="3777114" y="1511944"/>
          <a:ext cx="2688681" cy="6059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algn="ctr"/>
          <a:fld id="{25078887-F1F5-498D-8869-6AEB537C6E83}" type="TxLink">
            <a:rPr lang="en-US" sz="4400" b="1" i="0" u="none" strike="noStrike">
              <a:solidFill>
                <a:schemeClr val="accent6">
                  <a:lumMod val="75000"/>
                </a:schemeClr>
              </a:solidFill>
              <a:latin typeface="Aptos Narrow"/>
            </a:rPr>
            <a:pPr algn="ctr"/>
            <a:t>₹ 52,120</a:t>
          </a:fld>
          <a:endParaRPr lang="en-US" sz="11500" b="1">
            <a:solidFill>
              <a:schemeClr val="accent6">
                <a:lumMod val="75000"/>
              </a:schemeClr>
            </a:solidFill>
            <a:latin typeface="+mn-lt"/>
          </a:endParaRPr>
        </a:p>
      </xdr:txBody>
    </xdr:sp>
    <xdr:clientData/>
  </xdr:twoCellAnchor>
  <xdr:twoCellAnchor editAs="absolute">
    <xdr:from>
      <xdr:col>4</xdr:col>
      <xdr:colOff>1210237</xdr:colOff>
      <xdr:row>5</xdr:row>
      <xdr:rowOff>112060</xdr:rowOff>
    </xdr:from>
    <xdr:to>
      <xdr:col>5</xdr:col>
      <xdr:colOff>961581</xdr:colOff>
      <xdr:row>8</xdr:row>
      <xdr:rowOff>134471</xdr:rowOff>
    </xdr:to>
    <xdr:sp macro="" textlink="Values!B2">
      <xdr:nvSpPr>
        <xdr:cNvPr id="10" name="TextBox 9">
          <a:extLst>
            <a:ext uri="{FF2B5EF4-FFF2-40B4-BE49-F238E27FC236}">
              <a16:creationId xmlns:a16="http://schemas.microsoft.com/office/drawing/2014/main" id="{6853ECDC-4B3F-1AC8-3E41-A09B788BFA55}"/>
            </a:ext>
          </a:extLst>
        </xdr:cNvPr>
        <xdr:cNvSpPr txBox="1"/>
      </xdr:nvSpPr>
      <xdr:spPr>
        <a:xfrm>
          <a:off x="7507943" y="1501589"/>
          <a:ext cx="2194226" cy="5939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algn="ctr"/>
          <a:fld id="{59E7BE01-E8FF-44E3-A7E5-79A204D30162}" type="TxLink">
            <a:rPr lang="en-US" sz="4400" b="1" i="0" u="none" strike="noStrike">
              <a:solidFill>
                <a:srgbClr val="FF0000"/>
              </a:solidFill>
              <a:latin typeface="Aptos Narrow"/>
            </a:rPr>
            <a:pPr algn="ctr"/>
            <a:t>₹ 18,346</a:t>
          </a:fld>
          <a:endParaRPr lang="en-US" sz="4400" b="1">
            <a:solidFill>
              <a:srgbClr val="FF0000"/>
            </a:solidFill>
          </a:endParaRPr>
        </a:p>
      </xdr:txBody>
    </xdr:sp>
    <xdr:clientData/>
  </xdr:twoCellAnchor>
  <xdr:twoCellAnchor editAs="absolute">
    <xdr:from>
      <xdr:col>1</xdr:col>
      <xdr:colOff>172510</xdr:colOff>
      <xdr:row>29</xdr:row>
      <xdr:rowOff>112061</xdr:rowOff>
    </xdr:from>
    <xdr:to>
      <xdr:col>3</xdr:col>
      <xdr:colOff>1636059</xdr:colOff>
      <xdr:row>44</xdr:row>
      <xdr:rowOff>55739</xdr:rowOff>
    </xdr:to>
    <xdr:graphicFrame macro="">
      <xdr:nvGraphicFramePr>
        <xdr:cNvPr id="11" name="Chart 10">
          <a:extLst>
            <a:ext uri="{FF2B5EF4-FFF2-40B4-BE49-F238E27FC236}">
              <a16:creationId xmlns:a16="http://schemas.microsoft.com/office/drawing/2014/main" id="{F90461C8-ABE9-42F2-B269-551BE2CDE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1770530</xdr:colOff>
      <xdr:row>29</xdr:row>
      <xdr:rowOff>112059</xdr:rowOff>
    </xdr:from>
    <xdr:to>
      <xdr:col>6</xdr:col>
      <xdr:colOff>1019735</xdr:colOff>
      <xdr:row>44</xdr:row>
      <xdr:rowOff>78441</xdr:rowOff>
    </xdr:to>
    <xdr:graphicFrame macro="">
      <xdr:nvGraphicFramePr>
        <xdr:cNvPr id="12" name="Chart 11">
          <a:extLst>
            <a:ext uri="{FF2B5EF4-FFF2-40B4-BE49-F238E27FC236}">
              <a16:creationId xmlns:a16="http://schemas.microsoft.com/office/drawing/2014/main" id="{E7A30D0B-E906-404A-91E3-98656A1232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102661</xdr:colOff>
      <xdr:row>8</xdr:row>
      <xdr:rowOff>92868</xdr:rowOff>
    </xdr:from>
    <xdr:to>
      <xdr:col>2</xdr:col>
      <xdr:colOff>550702</xdr:colOff>
      <xdr:row>13</xdr:row>
      <xdr:rowOff>67513</xdr:rowOff>
    </xdr:to>
    <xdr:sp macro="[0]!ViewSummary" textlink="">
      <xdr:nvSpPr>
        <xdr:cNvPr id="5" name="Rectangle: Rounded Corners 4">
          <a:extLst>
            <a:ext uri="{FF2B5EF4-FFF2-40B4-BE49-F238E27FC236}">
              <a16:creationId xmlns:a16="http://schemas.microsoft.com/office/drawing/2014/main" id="{0768A75A-058A-0C9A-B19C-6ED5A50D87F1}"/>
            </a:ext>
          </a:extLst>
        </xdr:cNvPr>
        <xdr:cNvSpPr/>
      </xdr:nvSpPr>
      <xdr:spPr>
        <a:xfrm>
          <a:off x="1593043" y="2053897"/>
          <a:ext cx="1938424" cy="927145"/>
        </a:xfrm>
        <a:prstGeom prst="roundRect">
          <a:avLst/>
        </a:prstGeom>
        <a:solidFill>
          <a:srgbClr val="1A777C"/>
        </a:solidFill>
        <a:ln>
          <a:noFill/>
        </a:ln>
        <a:effectLst>
          <a:glow rad="63500">
            <a:schemeClr val="accent1">
              <a:satMod val="175000"/>
              <a:alpha val="40000"/>
            </a:schemeClr>
          </a:glow>
          <a:outerShdw blurRad="50800" dist="38100" dir="2700000" algn="tl" rotWithShape="0">
            <a:prstClr val="black">
              <a:alpha val="40000"/>
            </a:prstClr>
          </a:outerShdw>
          <a:softEdge rad="12700"/>
        </a:effectLst>
        <a:scene3d>
          <a:camera prst="orthographicFront"/>
          <a:lightRig rig="threePt" dir="t"/>
        </a:scene3d>
        <a:sp3d>
          <a:bevelT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VIEW SUMMARY</a:t>
          </a:r>
        </a:p>
      </xdr:txBody>
    </xdr:sp>
    <xdr:clientData/>
  </xdr:twoCellAnchor>
  <xdr:twoCellAnchor>
    <xdr:from>
      <xdr:col>6</xdr:col>
      <xdr:colOff>364168</xdr:colOff>
      <xdr:row>1</xdr:row>
      <xdr:rowOff>88794</xdr:rowOff>
    </xdr:from>
    <xdr:to>
      <xdr:col>7</xdr:col>
      <xdr:colOff>2110336</xdr:colOff>
      <xdr:row>10</xdr:row>
      <xdr:rowOff>145678</xdr:rowOff>
    </xdr:to>
    <xdr:grpSp>
      <xdr:nvGrpSpPr>
        <xdr:cNvPr id="2" name="Group 1">
          <a:extLst>
            <a:ext uri="{FF2B5EF4-FFF2-40B4-BE49-F238E27FC236}">
              <a16:creationId xmlns:a16="http://schemas.microsoft.com/office/drawing/2014/main" id="{FD66949E-30BC-6FB7-8B8A-2B47E37972A8}"/>
            </a:ext>
          </a:extLst>
        </xdr:cNvPr>
        <xdr:cNvGrpSpPr/>
      </xdr:nvGrpSpPr>
      <xdr:grpSpPr>
        <a:xfrm>
          <a:off x="10595139" y="716323"/>
          <a:ext cx="3740815" cy="1771384"/>
          <a:chOff x="11184073" y="3876382"/>
          <a:chExt cx="5577446" cy="1880152"/>
        </a:xfrm>
      </xdr:grpSpPr>
      <xdr:sp macro="" textlink="">
        <xdr:nvSpPr>
          <xdr:cNvPr id="13" name="Rectangle: Rounded Corners 12">
            <a:extLst>
              <a:ext uri="{FF2B5EF4-FFF2-40B4-BE49-F238E27FC236}">
                <a16:creationId xmlns:a16="http://schemas.microsoft.com/office/drawing/2014/main" id="{D4E07560-38B6-452E-8D14-4A6814949ED8}"/>
              </a:ext>
            </a:extLst>
          </xdr:cNvPr>
          <xdr:cNvSpPr/>
        </xdr:nvSpPr>
        <xdr:spPr>
          <a:xfrm>
            <a:off x="11184073" y="3876382"/>
            <a:ext cx="5577446" cy="1880152"/>
          </a:xfrm>
          <a:prstGeom prst="roundRect">
            <a:avLst>
              <a:gd name="adj" fmla="val 11983"/>
            </a:avLst>
          </a:prstGeom>
          <a:solidFill>
            <a:sysClr val="window" lastClr="FFFFFF"/>
          </a:solidFill>
          <a:ln>
            <a:noFill/>
          </a:ln>
          <a:effectLst>
            <a:outerShdw blurRad="50800" dist="38100" dir="2700000" algn="tl" rotWithShape="0">
              <a:prstClr val="black">
                <a:alpha val="40000"/>
              </a:prstClr>
            </a:outerShdw>
            <a:softEdge rad="63500"/>
          </a:effectLst>
          <a:scene3d>
            <a:camera prst="orthographicFront">
              <a:rot lat="0" lon="0" rev="0"/>
            </a:camera>
            <a:lightRig rig="glow" dir="t">
              <a:rot lat="0" lon="0" rev="4800000"/>
            </a:lightRig>
          </a:scene3d>
          <a:sp3d prstMaterial="matte">
            <a:bevelT w="127000" h="635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2400" b="1">
                <a:solidFill>
                  <a:schemeClr val="tx1"/>
                </a:solidFill>
                <a:latin typeface="Segoe UI" panose="020B0502040204020203" pitchFamily="34" charset="0"/>
                <a:ea typeface="+mn-ea"/>
                <a:cs typeface="Segoe UI" panose="020B0502040204020203" pitchFamily="34" charset="0"/>
              </a:rPr>
              <a:t>💵 Total Savings</a:t>
            </a:r>
          </a:p>
        </xdr:txBody>
      </xdr:sp>
      <xdr:sp macro="" textlink="Values!B3">
        <xdr:nvSpPr>
          <xdr:cNvPr id="14" name="TextBox 13">
            <a:extLst>
              <a:ext uri="{FF2B5EF4-FFF2-40B4-BE49-F238E27FC236}">
                <a16:creationId xmlns:a16="http://schemas.microsoft.com/office/drawing/2014/main" id="{E300EF92-FBF2-4E73-AB32-FBF4E7145140}"/>
              </a:ext>
            </a:extLst>
          </xdr:cNvPr>
          <xdr:cNvSpPr txBox="1"/>
        </xdr:nvSpPr>
        <xdr:spPr>
          <a:xfrm>
            <a:off x="12144798" y="4733653"/>
            <a:ext cx="3542641" cy="5709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algn="ctr"/>
            <a:fld id="{B9FA7A72-1C2D-4DA3-8486-1D3F177F351B}" type="TxLink">
              <a:rPr lang="en-US" sz="4400" b="1" i="0" u="none" strike="noStrike">
                <a:solidFill>
                  <a:schemeClr val="tx2">
                    <a:lumMod val="75000"/>
                    <a:lumOff val="25000"/>
                  </a:schemeClr>
                </a:solidFill>
                <a:latin typeface="Aptos Narrow"/>
              </a:rPr>
              <a:pPr algn="ctr"/>
              <a:t>₹ 33,774</a:t>
            </a:fld>
            <a:endParaRPr lang="en-US" sz="85700" b="1">
              <a:solidFill>
                <a:schemeClr val="tx2">
                  <a:lumMod val="75000"/>
                  <a:lumOff val="25000"/>
                </a:schemeClr>
              </a:solidFill>
            </a:endParaRPr>
          </a:p>
        </xdr:txBody>
      </xdr:sp>
    </xdr:grpSp>
    <xdr:clientData/>
  </xdr:twoCellAnchor>
  <xdr:twoCellAnchor>
    <xdr:from>
      <xdr:col>6</xdr:col>
      <xdr:colOff>1131794</xdr:colOff>
      <xdr:row>29</xdr:row>
      <xdr:rowOff>112059</xdr:rowOff>
    </xdr:from>
    <xdr:to>
      <xdr:col>8</xdr:col>
      <xdr:colOff>179294</xdr:colOff>
      <xdr:row>44</xdr:row>
      <xdr:rowOff>78442</xdr:rowOff>
    </xdr:to>
    <xdr:graphicFrame macro="">
      <xdr:nvGraphicFramePr>
        <xdr:cNvPr id="28" name="Chart 27">
          <a:extLst>
            <a:ext uri="{FF2B5EF4-FFF2-40B4-BE49-F238E27FC236}">
              <a16:creationId xmlns:a16="http://schemas.microsoft.com/office/drawing/2014/main" id="{72C03372-402A-411B-8CA4-3692692CF9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168088</xdr:colOff>
      <xdr:row>20</xdr:row>
      <xdr:rowOff>100852</xdr:rowOff>
    </xdr:from>
    <xdr:to>
      <xdr:col>3</xdr:col>
      <xdr:colOff>818029</xdr:colOff>
      <xdr:row>29</xdr:row>
      <xdr:rowOff>22411</xdr:rowOff>
    </xdr:to>
    <mc:AlternateContent xmlns:mc="http://schemas.openxmlformats.org/markup-compatibility/2006" xmlns:a14="http://schemas.microsoft.com/office/drawing/2010/main">
      <mc:Choice Requires="a14">
        <xdr:graphicFrame macro="">
          <xdr:nvGraphicFramePr>
            <xdr:cNvPr id="32" name="Payment Mode">
              <a:extLst>
                <a:ext uri="{FF2B5EF4-FFF2-40B4-BE49-F238E27FC236}">
                  <a16:creationId xmlns:a16="http://schemas.microsoft.com/office/drawing/2014/main" id="{8B6D9539-C18B-428A-ACF6-9D0CF1CAB491}"/>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1658470" y="4347881"/>
              <a:ext cx="3630706" cy="16360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1098177</xdr:colOff>
      <xdr:row>20</xdr:row>
      <xdr:rowOff>89647</xdr:rowOff>
    </xdr:from>
    <xdr:to>
      <xdr:col>6</xdr:col>
      <xdr:colOff>403411</xdr:colOff>
      <xdr:row>29</xdr:row>
      <xdr:rowOff>22412</xdr:rowOff>
    </xdr:to>
    <mc:AlternateContent xmlns:mc="http://schemas.openxmlformats.org/markup-compatibility/2006" xmlns:a14="http://schemas.microsoft.com/office/drawing/2010/main">
      <mc:Choice Requires="a14">
        <xdr:graphicFrame macro="">
          <xdr:nvGraphicFramePr>
            <xdr:cNvPr id="33" name="Category">
              <a:extLst>
                <a:ext uri="{FF2B5EF4-FFF2-40B4-BE49-F238E27FC236}">
                  <a16:creationId xmlns:a16="http://schemas.microsoft.com/office/drawing/2014/main" id="{A81F0628-EE29-4F41-853C-508D3CDCD43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569324" y="4336676"/>
              <a:ext cx="5065058" cy="16472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537882</xdr:colOff>
      <xdr:row>20</xdr:row>
      <xdr:rowOff>89646</xdr:rowOff>
    </xdr:from>
    <xdr:to>
      <xdr:col>8</xdr:col>
      <xdr:colOff>179295</xdr:colOff>
      <xdr:row>29</xdr:row>
      <xdr:rowOff>33618</xdr:rowOff>
    </xdr:to>
    <mc:AlternateContent xmlns:mc="http://schemas.openxmlformats.org/markup-compatibility/2006" xmlns:a14="http://schemas.microsoft.com/office/drawing/2010/main">
      <mc:Choice Requires="a14">
        <xdr:graphicFrame macro="">
          <xdr:nvGraphicFramePr>
            <xdr:cNvPr id="34" name="Type">
              <a:extLst>
                <a:ext uri="{FF2B5EF4-FFF2-40B4-BE49-F238E27FC236}">
                  <a16:creationId xmlns:a16="http://schemas.microsoft.com/office/drawing/2014/main" id="{1E7CF6C1-67F4-462F-887B-9A7362EB4947}"/>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768853" y="4336675"/>
              <a:ext cx="4056530" cy="16584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179295</xdr:colOff>
      <xdr:row>11</xdr:row>
      <xdr:rowOff>28854</xdr:rowOff>
    </xdr:from>
    <xdr:to>
      <xdr:col>7</xdr:col>
      <xdr:colOff>156883</xdr:colOff>
      <xdr:row>19</xdr:row>
      <xdr:rowOff>123265</xdr:rowOff>
    </xdr:to>
    <xdr:sp macro="" textlink="">
      <xdr:nvSpPr>
        <xdr:cNvPr id="38" name="Rectangle: Rounded Corners 37">
          <a:extLst>
            <a:ext uri="{FF2B5EF4-FFF2-40B4-BE49-F238E27FC236}">
              <a16:creationId xmlns:a16="http://schemas.microsoft.com/office/drawing/2014/main" id="{E388A760-B270-ECFB-D1B5-B39170A6C115}"/>
            </a:ext>
          </a:extLst>
        </xdr:cNvPr>
        <xdr:cNvSpPr/>
      </xdr:nvSpPr>
      <xdr:spPr>
        <a:xfrm>
          <a:off x="8919883" y="2561383"/>
          <a:ext cx="3462618" cy="1618411"/>
        </a:xfrm>
        <a:prstGeom prst="roundRect">
          <a:avLst>
            <a:gd name="adj" fmla="val 11983"/>
          </a:avLst>
        </a:prstGeom>
        <a:solidFill>
          <a:sysClr val="window" lastClr="FFFFFF"/>
        </a:solidFill>
        <a:ln>
          <a:noFill/>
        </a:ln>
        <a:effectLst>
          <a:outerShdw blurRad="50800" dist="38100" dir="2700000" algn="tl" rotWithShape="0">
            <a:prstClr val="black">
              <a:alpha val="40000"/>
            </a:prstClr>
          </a:outerShdw>
          <a:softEdge rad="63500"/>
        </a:effectLst>
        <a:scene3d>
          <a:camera prst="orthographicFront">
            <a:rot lat="0" lon="0" rev="0"/>
          </a:camera>
          <a:lightRig rig="glow" dir="t">
            <a:rot lat="0" lon="0" rev="4800000"/>
          </a:lightRig>
        </a:scene3d>
        <a:sp3d prstMaterial="matte">
          <a:bevelT w="127000" h="635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chemeClr val="tx1"/>
              </a:solidFill>
              <a:latin typeface="Segoe UI" panose="020B0502040204020203" pitchFamily="34" charset="0"/>
              <a:ea typeface="+mn-ea"/>
              <a:cs typeface="Segoe UI" panose="020B0502040204020203" pitchFamily="34" charset="0"/>
            </a:rPr>
            <a:t>📊 Highest Category</a:t>
          </a:r>
        </a:p>
      </xdr:txBody>
    </xdr:sp>
    <xdr:clientData/>
  </xdr:twoCellAnchor>
  <xdr:twoCellAnchor>
    <xdr:from>
      <xdr:col>3</xdr:col>
      <xdr:colOff>510987</xdr:colOff>
      <xdr:row>11</xdr:row>
      <xdr:rowOff>28854</xdr:rowOff>
    </xdr:from>
    <xdr:to>
      <xdr:col>4</xdr:col>
      <xdr:colOff>2218765</xdr:colOff>
      <xdr:row>19</xdr:row>
      <xdr:rowOff>123265</xdr:rowOff>
    </xdr:to>
    <xdr:grpSp>
      <xdr:nvGrpSpPr>
        <xdr:cNvPr id="44" name="Group 43">
          <a:extLst>
            <a:ext uri="{FF2B5EF4-FFF2-40B4-BE49-F238E27FC236}">
              <a16:creationId xmlns:a16="http://schemas.microsoft.com/office/drawing/2014/main" id="{80E402FF-2762-0F47-6F8B-80D864EF7C59}"/>
            </a:ext>
          </a:extLst>
        </xdr:cNvPr>
        <xdr:cNvGrpSpPr/>
      </xdr:nvGrpSpPr>
      <xdr:grpSpPr>
        <a:xfrm>
          <a:off x="4982134" y="2561383"/>
          <a:ext cx="3534337" cy="1618411"/>
          <a:chOff x="5105399" y="2561383"/>
          <a:chExt cx="3343837" cy="1618411"/>
        </a:xfrm>
      </xdr:grpSpPr>
      <xdr:sp macro="" textlink="">
        <xdr:nvSpPr>
          <xdr:cNvPr id="35" name="Rectangle: Rounded Corners 34">
            <a:extLst>
              <a:ext uri="{FF2B5EF4-FFF2-40B4-BE49-F238E27FC236}">
                <a16:creationId xmlns:a16="http://schemas.microsoft.com/office/drawing/2014/main" id="{C4DC3BED-FBDF-4136-5CC7-EBBAD097D3C0}"/>
              </a:ext>
            </a:extLst>
          </xdr:cNvPr>
          <xdr:cNvSpPr/>
        </xdr:nvSpPr>
        <xdr:spPr>
          <a:xfrm>
            <a:off x="5105399" y="2561383"/>
            <a:ext cx="3343837" cy="1618411"/>
          </a:xfrm>
          <a:prstGeom prst="roundRect">
            <a:avLst>
              <a:gd name="adj" fmla="val 11983"/>
            </a:avLst>
          </a:prstGeom>
          <a:solidFill>
            <a:sysClr val="window" lastClr="FFFFFF"/>
          </a:solidFill>
          <a:ln>
            <a:noFill/>
          </a:ln>
          <a:effectLst>
            <a:outerShdw blurRad="50800" dist="38100" dir="2700000" algn="tl" rotWithShape="0">
              <a:prstClr val="black">
                <a:alpha val="40000"/>
              </a:prstClr>
            </a:outerShdw>
            <a:softEdge rad="63500"/>
          </a:effectLst>
          <a:scene3d>
            <a:camera prst="orthographicFront">
              <a:rot lat="0" lon="0" rev="0"/>
            </a:camera>
            <a:lightRig rig="glow" dir="t">
              <a:rot lat="0" lon="0" rev="4800000"/>
            </a:lightRig>
          </a:scene3d>
          <a:sp3d prstMaterial="matte">
            <a:bevelT w="127000" h="635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t>💸 </a:t>
            </a:r>
            <a:r>
              <a:rPr lang="en-US" sz="2400" b="1">
                <a:solidFill>
                  <a:schemeClr val="tx1"/>
                </a:solidFill>
                <a:latin typeface="Segoe UI" panose="020B0502040204020203" pitchFamily="34" charset="0"/>
                <a:ea typeface="+mn-ea"/>
                <a:cs typeface="Segoe UI" panose="020B0502040204020203" pitchFamily="34" charset="0"/>
              </a:rPr>
              <a:t>Average Spending</a:t>
            </a:r>
          </a:p>
        </xdr:txBody>
      </xdr:sp>
      <xdr:sp macro="" textlink="Values!B4">
        <xdr:nvSpPr>
          <xdr:cNvPr id="39" name="TextBox 38">
            <a:extLst>
              <a:ext uri="{FF2B5EF4-FFF2-40B4-BE49-F238E27FC236}">
                <a16:creationId xmlns:a16="http://schemas.microsoft.com/office/drawing/2014/main" id="{57552CFF-E412-BAD7-48E2-20946BA85ABD}"/>
              </a:ext>
            </a:extLst>
          </xdr:cNvPr>
          <xdr:cNvSpPr txBox="1"/>
        </xdr:nvSpPr>
        <xdr:spPr>
          <a:xfrm>
            <a:off x="5666424" y="3132312"/>
            <a:ext cx="2270713" cy="7827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marL="0" indent="0" algn="ctr"/>
            <a:fld id="{148A028E-5D4C-44B4-98F0-4E75202232E5}" type="TxLink">
              <a:rPr lang="en-US" sz="4400" b="1" i="0" u="none" strike="noStrike">
                <a:solidFill>
                  <a:schemeClr val="accent6">
                    <a:lumMod val="75000"/>
                  </a:schemeClr>
                </a:solidFill>
                <a:latin typeface="Aptos Narrow"/>
                <a:ea typeface="+mn-ea"/>
                <a:cs typeface="+mn-cs"/>
              </a:rPr>
              <a:pPr marL="0" indent="0" algn="ctr"/>
              <a:t>₹ 679.48</a:t>
            </a:fld>
            <a:endParaRPr lang="en-US" sz="4400" b="1" i="0" u="none" strike="noStrike">
              <a:solidFill>
                <a:schemeClr val="accent6">
                  <a:lumMod val="75000"/>
                </a:schemeClr>
              </a:solidFill>
              <a:latin typeface="Aptos Narrow"/>
              <a:ea typeface="+mn-ea"/>
              <a:cs typeface="+mn-cs"/>
            </a:endParaRPr>
          </a:p>
        </xdr:txBody>
      </xdr:sp>
    </xdr:grpSp>
    <xdr:clientData/>
  </xdr:twoCellAnchor>
  <xdr:twoCellAnchor editAs="absolute">
    <xdr:from>
      <xdr:col>5</xdr:col>
      <xdr:colOff>634983</xdr:colOff>
      <xdr:row>14</xdr:row>
      <xdr:rowOff>28283</xdr:rowOff>
    </xdr:from>
    <xdr:to>
      <xdr:col>6</xdr:col>
      <xdr:colOff>1415313</xdr:colOff>
      <xdr:row>18</xdr:row>
      <xdr:rowOff>48990</xdr:rowOff>
    </xdr:to>
    <xdr:sp macro="" textlink="Values!B4">
      <xdr:nvSpPr>
        <xdr:cNvPr id="41" name="TextBox 40">
          <a:extLst>
            <a:ext uri="{FF2B5EF4-FFF2-40B4-BE49-F238E27FC236}">
              <a16:creationId xmlns:a16="http://schemas.microsoft.com/office/drawing/2014/main" id="{9F14404A-6889-20EF-9AC4-33A18A779D55}"/>
            </a:ext>
          </a:extLst>
        </xdr:cNvPr>
        <xdr:cNvSpPr txBox="1"/>
      </xdr:nvSpPr>
      <xdr:spPr>
        <a:xfrm>
          <a:off x="9375571" y="3132312"/>
          <a:ext cx="2270713" cy="7827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marL="0" indent="0" algn="ctr"/>
          <a:fld id="{148A028E-5D4C-44B4-98F0-4E75202232E5}" type="TxLink">
            <a:rPr lang="en-US" sz="4400" b="1" i="0" u="none" strike="noStrike">
              <a:solidFill>
                <a:schemeClr val="accent6">
                  <a:lumMod val="75000"/>
                </a:schemeClr>
              </a:solidFill>
              <a:latin typeface="Aptos Narrow"/>
              <a:ea typeface="+mn-ea"/>
              <a:cs typeface="+mn-cs"/>
            </a:rPr>
            <a:pPr marL="0" indent="0" algn="ctr"/>
            <a:t>₹ 679.48</a:t>
          </a:fld>
          <a:endParaRPr lang="en-US" sz="4400" b="1" i="0" u="none" strike="noStrike">
            <a:solidFill>
              <a:schemeClr val="accent6">
                <a:lumMod val="75000"/>
              </a:schemeClr>
            </a:solidFill>
            <a:latin typeface="Aptos Narrow"/>
            <a:ea typeface="+mn-ea"/>
            <a:cs typeface="+mn-cs"/>
          </a:endParaRPr>
        </a:p>
      </xdr:txBody>
    </xdr:sp>
    <xdr:clientData/>
  </xdr:twoCellAnchor>
  <xdr:twoCellAnchor editAs="absolute">
    <xdr:from>
      <xdr:col>5</xdr:col>
      <xdr:colOff>668600</xdr:colOff>
      <xdr:row>14</xdr:row>
      <xdr:rowOff>28283</xdr:rowOff>
    </xdr:from>
    <xdr:to>
      <xdr:col>6</xdr:col>
      <xdr:colOff>1448930</xdr:colOff>
      <xdr:row>18</xdr:row>
      <xdr:rowOff>48990</xdr:rowOff>
    </xdr:to>
    <xdr:sp macro="" textlink="Values!B4">
      <xdr:nvSpPr>
        <xdr:cNvPr id="42" name="TextBox 41">
          <a:extLst>
            <a:ext uri="{FF2B5EF4-FFF2-40B4-BE49-F238E27FC236}">
              <a16:creationId xmlns:a16="http://schemas.microsoft.com/office/drawing/2014/main" id="{09A50D7B-7FA4-04E6-A6E6-8F047DA2E8CD}"/>
            </a:ext>
          </a:extLst>
        </xdr:cNvPr>
        <xdr:cNvSpPr txBox="1"/>
      </xdr:nvSpPr>
      <xdr:spPr>
        <a:xfrm>
          <a:off x="9409188" y="3132312"/>
          <a:ext cx="2270713" cy="7827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marL="0" indent="0" algn="ctr"/>
          <a:fld id="{148A028E-5D4C-44B4-98F0-4E75202232E5}" type="TxLink">
            <a:rPr lang="en-US" sz="4400" b="1" i="0" u="none" strike="noStrike">
              <a:solidFill>
                <a:schemeClr val="accent6">
                  <a:lumMod val="75000"/>
                </a:schemeClr>
              </a:solidFill>
              <a:latin typeface="Aptos Narrow"/>
              <a:ea typeface="+mn-ea"/>
              <a:cs typeface="+mn-cs"/>
            </a:rPr>
            <a:pPr marL="0" indent="0" algn="ctr"/>
            <a:t>₹ 679.48</a:t>
          </a:fld>
          <a:endParaRPr lang="en-US" sz="4400" b="1" i="0" u="none" strike="noStrike">
            <a:solidFill>
              <a:schemeClr val="accent6">
                <a:lumMod val="75000"/>
              </a:schemeClr>
            </a:solidFill>
            <a:latin typeface="Aptos Narrow"/>
            <a:ea typeface="+mn-ea"/>
            <a:cs typeface="+mn-cs"/>
          </a:endParaRPr>
        </a:p>
      </xdr:txBody>
    </xdr:sp>
    <xdr:clientData/>
  </xdr:twoCellAnchor>
  <xdr:twoCellAnchor editAs="absolute">
    <xdr:from>
      <xdr:col>5</xdr:col>
      <xdr:colOff>791865</xdr:colOff>
      <xdr:row>14</xdr:row>
      <xdr:rowOff>17077</xdr:rowOff>
    </xdr:from>
    <xdr:to>
      <xdr:col>6</xdr:col>
      <xdr:colOff>1572195</xdr:colOff>
      <xdr:row>18</xdr:row>
      <xdr:rowOff>37784</xdr:rowOff>
    </xdr:to>
    <xdr:sp macro="" textlink="Values!B6">
      <xdr:nvSpPr>
        <xdr:cNvPr id="43" name="TextBox 42">
          <a:extLst>
            <a:ext uri="{FF2B5EF4-FFF2-40B4-BE49-F238E27FC236}">
              <a16:creationId xmlns:a16="http://schemas.microsoft.com/office/drawing/2014/main" id="{5E838D26-B327-D0AC-9C31-FD109A1B7E04}"/>
            </a:ext>
          </a:extLst>
        </xdr:cNvPr>
        <xdr:cNvSpPr txBox="1"/>
      </xdr:nvSpPr>
      <xdr:spPr>
        <a:xfrm>
          <a:off x="9532453" y="3121106"/>
          <a:ext cx="2270713" cy="7827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marL="0" indent="0" algn="ctr"/>
          <a:fld id="{618DA324-07B6-40AD-92D1-4A7252945ADB}" type="TxLink">
            <a:rPr lang="en-US" sz="4400" b="1" i="0" u="none" strike="noStrike">
              <a:solidFill>
                <a:srgbClr val="7C3AED"/>
              </a:solidFill>
              <a:latin typeface="Aptos Narrow"/>
              <a:ea typeface="+mn-ea"/>
              <a:cs typeface="+mn-cs"/>
            </a:rPr>
            <a:pPr marL="0" indent="0" algn="ctr"/>
            <a:t>Salary</a:t>
          </a:fld>
          <a:endParaRPr lang="en-US" sz="4400" b="1" i="0" u="none" strike="noStrike">
            <a:solidFill>
              <a:srgbClr val="7C3AED"/>
            </a:solidFill>
            <a:latin typeface="Aptos Narrow"/>
            <a:ea typeface="+mn-ea"/>
            <a:cs typeface="+mn-cs"/>
          </a:endParaRPr>
        </a:p>
      </xdr:txBody>
    </xdr:sp>
    <xdr:clientData/>
  </xdr:twoCellAnchor>
  <xdr:twoCellAnchor>
    <xdr:from>
      <xdr:col>6</xdr:col>
      <xdr:colOff>1680882</xdr:colOff>
      <xdr:row>0</xdr:row>
      <xdr:rowOff>1</xdr:rowOff>
    </xdr:from>
    <xdr:to>
      <xdr:col>8</xdr:col>
      <xdr:colOff>145676</xdr:colOff>
      <xdr:row>0</xdr:row>
      <xdr:rowOff>593913</xdr:rowOff>
    </xdr:to>
    <xdr:sp macro="" textlink="Values!B7">
      <xdr:nvSpPr>
        <xdr:cNvPr id="45" name="TextBox 44">
          <a:extLst>
            <a:ext uri="{FF2B5EF4-FFF2-40B4-BE49-F238E27FC236}">
              <a16:creationId xmlns:a16="http://schemas.microsoft.com/office/drawing/2014/main" id="{962FD1B2-1F22-7067-3E3F-AAF433C272DF}"/>
            </a:ext>
          </a:extLst>
        </xdr:cNvPr>
        <xdr:cNvSpPr txBox="1"/>
      </xdr:nvSpPr>
      <xdr:spPr>
        <a:xfrm>
          <a:off x="11911853" y="1"/>
          <a:ext cx="2879911" cy="593912"/>
        </a:xfrm>
        <a:prstGeom prst="rect">
          <a:avLst/>
        </a:prstGeom>
        <a:solidFill>
          <a:srgbClr val="1A777C"/>
        </a:solidFill>
        <a:ln w="9525" cmpd="sng">
          <a:solidFill>
            <a:srgbClr val="1A777C"/>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648923F-8BA0-4562-9F98-1CA185F0B017}" type="TxLink">
            <a:rPr lang="en-US" sz="1400" b="1" i="0" u="none" strike="noStrike">
              <a:solidFill>
                <a:schemeClr val="bg1"/>
              </a:solidFill>
              <a:latin typeface="Aptos Narrow"/>
            </a:rPr>
            <a:pPr algn="ctr"/>
            <a:t>Last Updated: 14-Nov-2025 05:43 PM</a:t>
          </a:fld>
          <a:endParaRPr lang="en-US" sz="1400" b="1">
            <a:solidFill>
              <a:schemeClr val="bg1"/>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975.738656018519" backgroundQuery="1" createdVersion="8" refreshedVersion="8" minRefreshableVersion="3" recordCount="0" supportSubquery="1" supportAdvancedDrill="1" xr:uid="{4B348189-3803-4E32-979E-45040AA367B9}">
  <cacheSource type="external" connectionId="1"/>
  <cacheFields count="2">
    <cacheField name="[ExpenseTable].[Category].[Category]" caption="Category" numFmtId="0" hierarchy="2" level="1">
      <sharedItems count="14">
        <s v="Bills"/>
        <s v="Cashback"/>
        <s v="Education"/>
        <s v="Entertainment"/>
        <s v="Food"/>
        <s v="Freelance"/>
        <s v="Gift"/>
        <s v="Health"/>
        <s v="Household"/>
        <s v="Salary"/>
        <s v="Shopping"/>
        <s v="Transport"/>
        <s v="Travel"/>
        <s v="Utilities"/>
      </sharedItems>
    </cacheField>
    <cacheField name="[Measures].[Sum of Amount]" caption="Sum of Amount" numFmtId="0" hierarchy="9" level="32767"/>
  </cacheFields>
  <cacheHierarchies count="10">
    <cacheHierarchy uniqueName="[ExpenseTable].[Date]" caption="Date" attribute="1" defaultMemberUniqueName="[ExpenseTable].[Date].[All]" allUniqueName="[ExpenseTable].[Date].[All]" dimensionUniqueName="[ExpenseTable]" displayFolder="" count="0" memberValueDatatype="130" unbalanced="0"/>
    <cacheHierarchy uniqueName="[ExpenseTable].[Type]" caption="Type" attribute="1" defaultMemberUniqueName="[ExpenseTable].[Type].[All]" allUniqueName="[ExpenseTable].[Type].[All]" dimensionUniqueName="[ExpenseTable]" displayFolder="" count="2" memberValueDatatype="130" unbalanced="0"/>
    <cacheHierarchy uniqueName="[ExpenseTable].[Category]" caption="Category" attribute="1" defaultMemberUniqueName="[ExpenseTable].[Category].[All]" allUniqueName="[ExpenseTable].[Category].[All]" dimensionUniqueName="[ExpenseTable]" displayFolder="" count="2" memberValueDatatype="130" unbalanced="0">
      <fieldsUsage count="2">
        <fieldUsage x="-1"/>
        <fieldUsage x="0"/>
      </fieldsUsage>
    </cacheHierarchy>
    <cacheHierarchy uniqueName="[ExpenseTable].[Description]" caption="Description" attribute="1" defaultMemberUniqueName="[ExpenseTable].[Description].[All]" allUniqueName="[ExpenseTable].[Description].[All]" dimensionUniqueName="[ExpenseTable]" displayFolder="" count="0" memberValueDatatype="130" unbalanced="0"/>
    <cacheHierarchy uniqueName="[ExpenseTable].[Amount]" caption="Amount" attribute="1" defaultMemberUniqueName="[ExpenseTable].[Amount].[All]" allUniqueName="[ExpenseTable].[Amount].[All]" dimensionUniqueName="[ExpenseTable]" displayFolder="" count="0" memberValueDatatype="20" unbalanced="0"/>
    <cacheHierarchy uniqueName="[ExpenseTable].[Payment Mode]" caption="Payment Mode" attribute="1" defaultMemberUniqueName="[ExpenseTable].[Payment Mode].[All]" allUniqueName="[ExpenseTable].[Payment Mode].[All]" dimensionUniqueName="[ExpenseTable]" displayFolder="" count="2" memberValueDatatype="130" unbalanced="0"/>
    <cacheHierarchy uniqueName="[ExpenseTable].[Notes]" caption="Notes" attribute="1" defaultMemberUniqueName="[ExpenseTable].[Notes].[All]" allUniqueName="[ExpenseTable].[Notes].[All]" dimensionUniqueName="[ExpenseTable]" displayFolder="" count="0" memberValueDatatype="130" unbalanced="0"/>
    <cacheHierarchy uniqueName="[Measures].[__XL_Count ExpenseTable]" caption="__XL_Count ExpenseTable" measure="1" displayFolder="" measureGroup="ExpenseTable" count="0" hidden="1"/>
    <cacheHierarchy uniqueName="[Measures].[__No measures defined]" caption="__No measures defined" measure="1" displayFolder="" count="0" hidden="1"/>
    <cacheHierarchy uniqueName="[Measures].[Sum of Amount]" caption="Sum of Amount" measure="1" displayFolder="" measureGroup="ExpenseTable" count="0" oneField="1" hidden="1">
      <fieldsUsage count="1">
        <fieldUsage x="1"/>
      </fieldsUsage>
      <extLst>
        <ext xmlns:x15="http://schemas.microsoft.com/office/spreadsheetml/2010/11/main" uri="{B97F6D7D-B522-45F9-BDA1-12C45D357490}">
          <x15:cacheHierarchy aggregatedColumn="4"/>
        </ext>
      </extLst>
    </cacheHierarchy>
  </cacheHierarchies>
  <kpis count="0"/>
  <dimensions count="2">
    <dimension name="ExpenseTable" uniqueName="[ExpenseTable]" caption="ExpenseTable"/>
    <dimension measure="1" name="Measures" uniqueName="[Measures]" caption="Measures"/>
  </dimensions>
  <measureGroups count="1">
    <measureGroup name="ExpenseTable" caption="Expense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975.738656828704" backgroundQuery="1" createdVersion="8" refreshedVersion="8" minRefreshableVersion="3" recordCount="0" supportSubquery="1" supportAdvancedDrill="1" xr:uid="{772B742A-8B30-4E66-B5B0-5B6B59D17AE4}">
  <cacheSource type="external" connectionId="1"/>
  <cacheFields count="3">
    <cacheField name="[ExpenseTable].[Category].[Category]" caption="Category" numFmtId="0" hierarchy="2" level="1">
      <sharedItems count="14">
        <s v="Bills"/>
        <s v="Cashback"/>
        <s v="Education"/>
        <s v="Entertainment"/>
        <s v="Food"/>
        <s v="Freelance"/>
        <s v="Gift"/>
        <s v="Health"/>
        <s v="Household"/>
        <s v="Salary"/>
        <s v="Shopping"/>
        <s v="Transport"/>
        <s v="Travel"/>
        <s v="Utilities"/>
      </sharedItems>
    </cacheField>
    <cacheField name="[ExpenseTable].[Date].[Date]" caption="Date" numFmtId="0" level="1">
      <sharedItems count="26">
        <s v="1/1/2025"/>
        <s v="1/10/2025"/>
        <s v="1/11/2025"/>
        <s v="1/12/2025"/>
        <s v="1/13/2025"/>
        <s v="1/14/2025"/>
        <s v="1/15/2025"/>
        <s v="1/16/2025"/>
        <s v="1/17/2025"/>
        <s v="1/18/2025"/>
        <s v="1/19/2025"/>
        <s v="1/2/2025"/>
        <s v="1/20/2025"/>
        <s v="1/21/2025"/>
        <s v="1/22/2025"/>
        <s v="1/23/2025"/>
        <s v="1/24/2025"/>
        <s v="1/25/2025"/>
        <s v="1/3/2025"/>
        <s v="1/4/2025"/>
        <s v="1/5/2025"/>
        <s v="1/6/2025"/>
        <s v="1/7/2025"/>
        <s v="1/8/2025"/>
        <s v="1/9/2025"/>
        <s v="14-11-2025"/>
      </sharedItems>
    </cacheField>
    <cacheField name="[Measures].[Sum of Amount]" caption="Sum of Amount" numFmtId="0" hierarchy="9" level="32767"/>
  </cacheFields>
  <cacheHierarchies count="10">
    <cacheHierarchy uniqueName="[ExpenseTable].[Date]" caption="Date" attribute="1" defaultMemberUniqueName="[ExpenseTable].[Date].[All]" allUniqueName="[ExpenseTable].[Date].[All]" dimensionUniqueName="[ExpenseTable]" displayFolder="" count="2" memberValueDatatype="130" unbalanced="0">
      <fieldsUsage count="2">
        <fieldUsage x="-1"/>
        <fieldUsage x="1"/>
      </fieldsUsage>
    </cacheHierarchy>
    <cacheHierarchy uniqueName="[ExpenseTable].[Type]" caption="Type" attribute="1" defaultMemberUniqueName="[ExpenseTable].[Type].[All]" allUniqueName="[ExpenseTable].[Type].[All]" dimensionUniqueName="[ExpenseTable]" displayFolder="" count="2" memberValueDatatype="130" unbalanced="0"/>
    <cacheHierarchy uniqueName="[ExpenseTable].[Category]" caption="Category" attribute="1" defaultMemberUniqueName="[ExpenseTable].[Category].[All]" allUniqueName="[ExpenseTable].[Category].[All]" dimensionUniqueName="[ExpenseTable]" displayFolder="" count="2" memberValueDatatype="130" unbalanced="0">
      <fieldsUsage count="2">
        <fieldUsage x="-1"/>
        <fieldUsage x="0"/>
      </fieldsUsage>
    </cacheHierarchy>
    <cacheHierarchy uniqueName="[ExpenseTable].[Description]" caption="Description" attribute="1" defaultMemberUniqueName="[ExpenseTable].[Description].[All]" allUniqueName="[ExpenseTable].[Description].[All]" dimensionUniqueName="[ExpenseTable]" displayFolder="" count="0" memberValueDatatype="130" unbalanced="0"/>
    <cacheHierarchy uniqueName="[ExpenseTable].[Amount]" caption="Amount" attribute="1" defaultMemberUniqueName="[ExpenseTable].[Amount].[All]" allUniqueName="[ExpenseTable].[Amount].[All]" dimensionUniqueName="[ExpenseTable]" displayFolder="" count="0" memberValueDatatype="20" unbalanced="0"/>
    <cacheHierarchy uniqueName="[ExpenseTable].[Payment Mode]" caption="Payment Mode" attribute="1" defaultMemberUniqueName="[ExpenseTable].[Payment Mode].[All]" allUniqueName="[ExpenseTable].[Payment Mode].[All]" dimensionUniqueName="[ExpenseTable]" displayFolder="" count="2" memberValueDatatype="130" unbalanced="0"/>
    <cacheHierarchy uniqueName="[ExpenseTable].[Notes]" caption="Notes" attribute="1" defaultMemberUniqueName="[ExpenseTable].[Notes].[All]" allUniqueName="[ExpenseTable].[Notes].[All]" dimensionUniqueName="[ExpenseTable]" displayFolder="" count="0" memberValueDatatype="130" unbalanced="0"/>
    <cacheHierarchy uniqueName="[Measures].[__XL_Count ExpenseTable]" caption="__XL_Count ExpenseTable" measure="1" displayFolder="" measureGroup="ExpenseTable" count="0" hidden="1"/>
    <cacheHierarchy uniqueName="[Measures].[__No measures defined]" caption="__No measures defined" measure="1" displayFolder="" count="0" hidden="1"/>
    <cacheHierarchy uniqueName="[Measures].[Sum of Amount]" caption="Sum of Amount" measure="1" displayFolder="" measureGroup="ExpenseTable" count="0" oneField="1" hidden="1">
      <fieldsUsage count="1">
        <fieldUsage x="2"/>
      </fieldsUsage>
      <extLst>
        <ext xmlns:x15="http://schemas.microsoft.com/office/spreadsheetml/2010/11/main" uri="{B97F6D7D-B522-45F9-BDA1-12C45D357490}">
          <x15:cacheHierarchy aggregatedColumn="4"/>
        </ext>
      </extLst>
    </cacheHierarchy>
  </cacheHierarchies>
  <kpis count="0"/>
  <dimensions count="2">
    <dimension name="ExpenseTable" uniqueName="[ExpenseTable]" caption="ExpenseTable"/>
    <dimension measure="1" name="Measures" uniqueName="[Measures]" caption="Measures"/>
  </dimensions>
  <measureGroups count="1">
    <measureGroup name="ExpenseTable" caption="Expense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975.73865752315" backgroundQuery="1" createdVersion="8" refreshedVersion="8" minRefreshableVersion="3" recordCount="0" supportSubquery="1" supportAdvancedDrill="1" xr:uid="{6F84FC6F-615D-4527-97CC-F84B38ED290A}">
  <cacheSource type="external" connectionId="1"/>
  <cacheFields count="3">
    <cacheField name="[ExpenseTable].[Payment Mode].[Payment Mode]" caption="Payment Mode" numFmtId="0" hierarchy="5" level="1">
      <sharedItems count="4">
        <s v="Bank Transfer"/>
        <s v="Card"/>
        <s v="Cash"/>
        <s v="UPI"/>
      </sharedItems>
    </cacheField>
    <cacheField name="[Measures].[Sum of Amount]" caption="Sum of Amount" numFmtId="0" hierarchy="9" level="32767"/>
    <cacheField name="[ExpenseTable].[Category].[Category]" caption="Category" numFmtId="0" hierarchy="2" level="1">
      <sharedItems containsSemiMixedTypes="0" containsNonDate="0" containsString="0"/>
    </cacheField>
  </cacheFields>
  <cacheHierarchies count="10">
    <cacheHierarchy uniqueName="[ExpenseTable].[Date]" caption="Date" attribute="1" defaultMemberUniqueName="[ExpenseTable].[Date].[All]" allUniqueName="[ExpenseTable].[Date].[All]" dimensionUniqueName="[ExpenseTable]" displayFolder="" count="0" memberValueDatatype="130" unbalanced="0"/>
    <cacheHierarchy uniqueName="[ExpenseTable].[Type]" caption="Type" attribute="1" defaultMemberUniqueName="[ExpenseTable].[Type].[All]" allUniqueName="[ExpenseTable].[Type].[All]" dimensionUniqueName="[ExpenseTable]" displayFolder="" count="2" memberValueDatatype="130" unbalanced="0"/>
    <cacheHierarchy uniqueName="[ExpenseTable].[Category]" caption="Category" attribute="1" defaultMemberUniqueName="[ExpenseTable].[Category].[All]" allUniqueName="[ExpenseTable].[Category].[All]" dimensionUniqueName="[ExpenseTable]" displayFolder="" count="2" memberValueDatatype="130" unbalanced="0">
      <fieldsUsage count="2">
        <fieldUsage x="-1"/>
        <fieldUsage x="2"/>
      </fieldsUsage>
    </cacheHierarchy>
    <cacheHierarchy uniqueName="[ExpenseTable].[Description]" caption="Description" attribute="1" defaultMemberUniqueName="[ExpenseTable].[Description].[All]" allUniqueName="[ExpenseTable].[Description].[All]" dimensionUniqueName="[ExpenseTable]" displayFolder="" count="0" memberValueDatatype="130" unbalanced="0"/>
    <cacheHierarchy uniqueName="[ExpenseTable].[Amount]" caption="Amount" attribute="1" defaultMemberUniqueName="[ExpenseTable].[Amount].[All]" allUniqueName="[ExpenseTable].[Amount].[All]" dimensionUniqueName="[ExpenseTable]" displayFolder="" count="0" memberValueDatatype="20" unbalanced="0"/>
    <cacheHierarchy uniqueName="[ExpenseTable].[Payment Mode]" caption="Payment Mode" attribute="1" defaultMemberUniqueName="[ExpenseTable].[Payment Mode].[All]" allUniqueName="[ExpenseTable].[Payment Mode].[All]" dimensionUniqueName="[ExpenseTable]" displayFolder="" count="2" memberValueDatatype="130" unbalanced="0">
      <fieldsUsage count="2">
        <fieldUsage x="-1"/>
        <fieldUsage x="0"/>
      </fieldsUsage>
    </cacheHierarchy>
    <cacheHierarchy uniqueName="[ExpenseTable].[Notes]" caption="Notes" attribute="1" defaultMemberUniqueName="[ExpenseTable].[Notes].[All]" allUniqueName="[ExpenseTable].[Notes].[All]" dimensionUniqueName="[ExpenseTable]" displayFolder="" count="0" memberValueDatatype="130" unbalanced="0"/>
    <cacheHierarchy uniqueName="[Measures].[__XL_Count ExpenseTable]" caption="__XL_Count ExpenseTable" measure="1" displayFolder="" measureGroup="ExpenseTable" count="0" hidden="1"/>
    <cacheHierarchy uniqueName="[Measures].[__No measures defined]" caption="__No measures defined" measure="1" displayFolder="" count="0" hidden="1"/>
    <cacheHierarchy uniqueName="[Measures].[Sum of Amount]" caption="Sum of Amount" measure="1" displayFolder="" measureGroup="ExpenseTable" count="0" oneField="1" hidden="1">
      <fieldsUsage count="1">
        <fieldUsage x="1"/>
      </fieldsUsage>
      <extLst>
        <ext xmlns:x15="http://schemas.microsoft.com/office/spreadsheetml/2010/11/main" uri="{B97F6D7D-B522-45F9-BDA1-12C45D357490}">
          <x15:cacheHierarchy aggregatedColumn="4"/>
        </ext>
      </extLst>
    </cacheHierarchy>
  </cacheHierarchies>
  <kpis count="0"/>
  <dimensions count="2">
    <dimension name="ExpenseTable" uniqueName="[ExpenseTable]" caption="ExpenseTable"/>
    <dimension measure="1" name="Measures" uniqueName="[Measures]" caption="Measures"/>
  </dimensions>
  <measureGroups count="1">
    <measureGroup name="ExpenseTable" caption="Expense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975.730091666665" backgroundQuery="1" createdVersion="3" refreshedVersion="8" minRefreshableVersion="3" recordCount="0" supportSubquery="1" supportAdvancedDrill="1" xr:uid="{22E018C2-A890-4568-BE19-2DA9D4987EC0}">
  <cacheSource type="external" connectionId="1">
    <extLst>
      <ext xmlns:x14="http://schemas.microsoft.com/office/spreadsheetml/2009/9/main" uri="{F057638F-6D5F-4e77-A914-E7F072B9BCA8}">
        <x14:sourceConnection name="ThisWorkbookDataModel"/>
      </ext>
    </extLst>
  </cacheSource>
  <cacheFields count="0"/>
  <cacheHierarchies count="10">
    <cacheHierarchy uniqueName="[ExpenseTable].[Date]" caption="Date" attribute="1" defaultMemberUniqueName="[ExpenseTable].[Date].[All]" allUniqueName="[ExpenseTable].[Date].[All]" dimensionUniqueName="[ExpenseTable]" displayFolder="" count="0" memberValueDatatype="130" unbalanced="0"/>
    <cacheHierarchy uniqueName="[ExpenseTable].[Type]" caption="Type" attribute="1" defaultMemberUniqueName="[ExpenseTable].[Type].[All]" allUniqueName="[ExpenseTable].[Type].[All]" dimensionUniqueName="[ExpenseTable]" displayFolder="" count="2" memberValueDatatype="130" unbalanced="0"/>
    <cacheHierarchy uniqueName="[ExpenseTable].[Category]" caption="Category" attribute="1" defaultMemberUniqueName="[ExpenseTable].[Category].[All]" allUniqueName="[ExpenseTable].[Category].[All]" dimensionUniqueName="[ExpenseTable]" displayFolder="" count="2" memberValueDatatype="130" unbalanced="0"/>
    <cacheHierarchy uniqueName="[ExpenseTable].[Description]" caption="Description" attribute="1" defaultMemberUniqueName="[ExpenseTable].[Description].[All]" allUniqueName="[ExpenseTable].[Description].[All]" dimensionUniqueName="[ExpenseTable]" displayFolder="" count="0" memberValueDatatype="130" unbalanced="0"/>
    <cacheHierarchy uniqueName="[ExpenseTable].[Amount]" caption="Amount" attribute="1" defaultMemberUniqueName="[ExpenseTable].[Amount].[All]" allUniqueName="[ExpenseTable].[Amount].[All]" dimensionUniqueName="[ExpenseTable]" displayFolder="" count="0" memberValueDatatype="20" unbalanced="0"/>
    <cacheHierarchy uniqueName="[ExpenseTable].[Payment Mode]" caption="Payment Mode" attribute="1" defaultMemberUniqueName="[ExpenseTable].[Payment Mode].[All]" allUniqueName="[ExpenseTable].[Payment Mode].[All]" dimensionUniqueName="[ExpenseTable]" displayFolder="" count="2" memberValueDatatype="130" unbalanced="0"/>
    <cacheHierarchy uniqueName="[ExpenseTable].[Notes]" caption="Notes" attribute="1" defaultMemberUniqueName="[ExpenseTable].[Notes].[All]" allUniqueName="[ExpenseTable].[Notes].[All]" dimensionUniqueName="[ExpenseTable]" displayFolder="" count="0" memberValueDatatype="130" unbalanced="0"/>
    <cacheHierarchy uniqueName="[Measures].[__XL_Count ExpenseTable]" caption="__XL_Count ExpenseTable" measure="1" displayFolder="" measureGroup="ExpenseTable" count="0" hidden="1"/>
    <cacheHierarchy uniqueName="[Measures].[__No measures defined]" caption="__No measures defined" measure="1" displayFolder="" count="0" hidden="1"/>
    <cacheHierarchy uniqueName="[Measures].[Sum of Amount]" caption="Sum of Amount" measure="1" displayFolder="" measureGroup="ExpenseTabl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13235237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32CA3D-B55A-4C19-98E2-179E9D386591}" name="PivotTable1" cacheId="3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5">
  <location ref="A4:B19" firstHeaderRow="1" firstDataRow="1" firstDataCol="1"/>
  <pivotFields count="2">
    <pivotField axis="axisRow"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s>
  <rowFields count="1">
    <field x="0"/>
  </rowFields>
  <rowItems count="15">
    <i>
      <x/>
    </i>
    <i>
      <x v="1"/>
    </i>
    <i>
      <x v="2"/>
    </i>
    <i>
      <x v="3"/>
    </i>
    <i>
      <x v="4"/>
    </i>
    <i>
      <x v="5"/>
    </i>
    <i>
      <x v="6"/>
    </i>
    <i>
      <x v="7"/>
    </i>
    <i>
      <x v="8"/>
    </i>
    <i>
      <x v="9"/>
    </i>
    <i>
      <x v="10"/>
    </i>
    <i>
      <x v="11"/>
    </i>
    <i>
      <x v="12"/>
    </i>
    <i>
      <x v="13"/>
    </i>
    <i t="grand">
      <x/>
    </i>
  </rowItems>
  <colItems count="1">
    <i/>
  </colItems>
  <dataFields count="1">
    <dataField name="Sum of Amount" fld="1" baseField="0" baseItem="0"/>
  </dataFields>
  <chartFormats count="15">
    <chartFormat chart="8" format="25" series="1">
      <pivotArea type="data" outline="0" fieldPosition="0">
        <references count="1">
          <reference field="4294967294" count="1" selected="0">
            <x v="0"/>
          </reference>
        </references>
      </pivotArea>
    </chartFormat>
    <chartFormat chart="8" format="26">
      <pivotArea type="data" outline="0" fieldPosition="0">
        <references count="2">
          <reference field="4294967294" count="1" selected="0">
            <x v="0"/>
          </reference>
          <reference field="0" count="1" selected="0">
            <x v="8"/>
          </reference>
        </references>
      </pivotArea>
    </chartFormat>
    <chartFormat chart="8" format="27">
      <pivotArea type="data" outline="0" fieldPosition="0">
        <references count="2">
          <reference field="4294967294" count="1" selected="0">
            <x v="0"/>
          </reference>
          <reference field="0" count="1" selected="0">
            <x v="7"/>
          </reference>
        </references>
      </pivotArea>
    </chartFormat>
    <chartFormat chart="8" format="28">
      <pivotArea type="data" outline="0" fieldPosition="0">
        <references count="2">
          <reference field="4294967294" count="1" selected="0">
            <x v="0"/>
          </reference>
          <reference field="0" count="1" selected="0">
            <x v="5"/>
          </reference>
        </references>
      </pivotArea>
    </chartFormat>
    <chartFormat chart="8" format="29">
      <pivotArea type="data" outline="0" fieldPosition="0">
        <references count="2">
          <reference field="4294967294" count="1" selected="0">
            <x v="0"/>
          </reference>
          <reference field="0" count="1" selected="0">
            <x v="6"/>
          </reference>
        </references>
      </pivotArea>
    </chartFormat>
    <chartFormat chart="8" format="30">
      <pivotArea type="data" outline="0" fieldPosition="0">
        <references count="2">
          <reference field="4294967294" count="1" selected="0">
            <x v="0"/>
          </reference>
          <reference field="0" count="1" selected="0">
            <x v="4"/>
          </reference>
        </references>
      </pivotArea>
    </chartFormat>
    <chartFormat chart="8" format="31">
      <pivotArea type="data" outline="0" fieldPosition="0">
        <references count="2">
          <reference field="4294967294" count="1" selected="0">
            <x v="0"/>
          </reference>
          <reference field="0" count="1" selected="0">
            <x v="11"/>
          </reference>
        </references>
      </pivotArea>
    </chartFormat>
    <chartFormat chart="8" format="32">
      <pivotArea type="data" outline="0" fieldPosition="0">
        <references count="2">
          <reference field="4294967294" count="1" selected="0">
            <x v="0"/>
          </reference>
          <reference field="0" count="1" selected="0">
            <x v="10"/>
          </reference>
        </references>
      </pivotArea>
    </chartFormat>
    <chartFormat chart="8" format="33">
      <pivotArea type="data" outline="0" fieldPosition="0">
        <references count="2">
          <reference field="4294967294" count="1" selected="0">
            <x v="0"/>
          </reference>
          <reference field="0" count="1" selected="0">
            <x v="12"/>
          </reference>
        </references>
      </pivotArea>
    </chartFormat>
    <chartFormat chart="8" format="34">
      <pivotArea type="data" outline="0" fieldPosition="0">
        <references count="2">
          <reference field="4294967294" count="1" selected="0">
            <x v="0"/>
          </reference>
          <reference field="0" count="1" selected="0">
            <x v="13"/>
          </reference>
        </references>
      </pivotArea>
    </chartFormat>
    <chartFormat chart="8" format="35">
      <pivotArea type="data" outline="0" fieldPosition="0">
        <references count="2">
          <reference field="4294967294" count="1" selected="0">
            <x v="0"/>
          </reference>
          <reference field="0" count="1" selected="0">
            <x v="3"/>
          </reference>
        </references>
      </pivotArea>
    </chartFormat>
    <chartFormat chart="8" format="36">
      <pivotArea type="data" outline="0" fieldPosition="0">
        <references count="2">
          <reference field="4294967294" count="1" selected="0">
            <x v="0"/>
          </reference>
          <reference field="0" count="1" selected="0">
            <x v="2"/>
          </reference>
        </references>
      </pivotArea>
    </chartFormat>
    <chartFormat chart="8" format="37">
      <pivotArea type="data" outline="0" fieldPosition="0">
        <references count="2">
          <reference field="4294967294" count="1" selected="0">
            <x v="0"/>
          </reference>
          <reference field="0" count="1" selected="0">
            <x v="1"/>
          </reference>
        </references>
      </pivotArea>
    </chartFormat>
    <chartFormat chart="8" format="38">
      <pivotArea type="data" outline="0" fieldPosition="0">
        <references count="2">
          <reference field="4294967294" count="1" selected="0">
            <x v="0"/>
          </reference>
          <reference field="0" count="1" selected="0">
            <x v="0"/>
          </reference>
        </references>
      </pivotArea>
    </chartFormat>
    <chartFormat chart="8" format="39">
      <pivotArea type="data" outline="0" fieldPosition="0">
        <references count="2">
          <reference field="4294967294" count="1" selected="0">
            <x v="0"/>
          </reference>
          <reference field="0" count="1" selected="0">
            <x v="9"/>
          </reference>
        </references>
      </pivotArea>
    </chartFormat>
  </chartFormats>
  <pivotHierarchies count="10">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ExpenseTable">
        <x15:activeTabTopLevelEntity name="[Expens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41B0BB-4F2F-4E92-9E1C-DC66F4AF74F6}" name="PivotTable2" cacheId="3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A3:AB19" firstHeaderRow="1" firstDataRow="2" firstDataCol="1"/>
  <pivotFields count="3">
    <pivotField axis="axisRow" allDrilled="1" subtotalTop="0" showAll="0" dataSourceSort="1" defaultSubtotal="0" defaultAttributeDrillState="1">
      <items count="14">
        <item x="0"/>
        <item x="1"/>
        <item x="2"/>
        <item x="3"/>
        <item x="4"/>
        <item x="5"/>
        <item x="6"/>
        <item x="7"/>
        <item x="8"/>
        <item x="9"/>
        <item x="10"/>
        <item x="11"/>
        <item x="12"/>
        <item x="13"/>
      </items>
    </pivotField>
    <pivotField axis="axisCol" allDrilled="1"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 dataField="1" subtotalTop="0" showAll="0" defaultSubtotal="0"/>
  </pivotFields>
  <rowFields count="1">
    <field x="0"/>
  </rowFields>
  <rowItems count="15">
    <i>
      <x/>
    </i>
    <i>
      <x v="1"/>
    </i>
    <i>
      <x v="2"/>
    </i>
    <i>
      <x v="3"/>
    </i>
    <i>
      <x v="4"/>
    </i>
    <i>
      <x v="5"/>
    </i>
    <i>
      <x v="6"/>
    </i>
    <i>
      <x v="7"/>
    </i>
    <i>
      <x v="8"/>
    </i>
    <i>
      <x v="9"/>
    </i>
    <i>
      <x v="10"/>
    </i>
    <i>
      <x v="11"/>
    </i>
    <i>
      <x v="12"/>
    </i>
    <i>
      <x v="13"/>
    </i>
    <i t="grand">
      <x/>
    </i>
  </rowItems>
  <colFields count="1">
    <field x="1"/>
  </colFields>
  <colItems count="27">
    <i>
      <x/>
    </i>
    <i>
      <x v="1"/>
    </i>
    <i>
      <x v="2"/>
    </i>
    <i>
      <x v="3"/>
    </i>
    <i>
      <x v="4"/>
    </i>
    <i>
      <x v="5"/>
    </i>
    <i>
      <x v="6"/>
    </i>
    <i>
      <x v="7"/>
    </i>
    <i>
      <x v="8"/>
    </i>
    <i>
      <x v="9"/>
    </i>
    <i>
      <x v="10"/>
    </i>
    <i>
      <x v="11"/>
    </i>
    <i>
      <x v="12"/>
    </i>
    <i>
      <x v="13"/>
    </i>
    <i>
      <x v="14"/>
    </i>
    <i>
      <x v="15"/>
    </i>
    <i>
      <x v="16"/>
    </i>
    <i>
      <x v="17"/>
    </i>
    <i>
      <x v="18"/>
    </i>
    <i>
      <x v="19"/>
    </i>
    <i>
      <x v="20"/>
    </i>
    <i>
      <x v="21"/>
    </i>
    <i>
      <x v="22"/>
    </i>
    <i>
      <x v="23"/>
    </i>
    <i>
      <x v="24"/>
    </i>
    <i>
      <x v="25"/>
    </i>
    <i t="grand">
      <x/>
    </i>
  </colItems>
  <dataFields count="1">
    <dataField name="Sum of Amount" fld="2" baseField="0" baseItem="0"/>
  </dataFields>
  <chartFormats count="26">
    <chartFormat chart="11" format="76" series="1">
      <pivotArea type="data" outline="0" fieldPosition="0">
        <references count="2">
          <reference field="4294967294" count="1" selected="0">
            <x v="0"/>
          </reference>
          <reference field="1" count="1" selected="0">
            <x v="25"/>
          </reference>
        </references>
      </pivotArea>
    </chartFormat>
    <chartFormat chart="11" format="77" series="1">
      <pivotArea type="data" outline="0" fieldPosition="0">
        <references count="2">
          <reference field="4294967294" count="1" selected="0">
            <x v="0"/>
          </reference>
          <reference field="1" count="1" selected="0">
            <x v="0"/>
          </reference>
        </references>
      </pivotArea>
    </chartFormat>
    <chartFormat chart="11" format="78" series="1">
      <pivotArea type="data" outline="0" fieldPosition="0">
        <references count="2">
          <reference field="4294967294" count="1" selected="0">
            <x v="0"/>
          </reference>
          <reference field="1" count="1" selected="0">
            <x v="1"/>
          </reference>
        </references>
      </pivotArea>
    </chartFormat>
    <chartFormat chart="11" format="79" series="1">
      <pivotArea type="data" outline="0" fieldPosition="0">
        <references count="2">
          <reference field="4294967294" count="1" selected="0">
            <x v="0"/>
          </reference>
          <reference field="1" count="1" selected="0">
            <x v="2"/>
          </reference>
        </references>
      </pivotArea>
    </chartFormat>
    <chartFormat chart="11" format="80" series="1">
      <pivotArea type="data" outline="0" fieldPosition="0">
        <references count="2">
          <reference field="4294967294" count="1" selected="0">
            <x v="0"/>
          </reference>
          <reference field="1" count="1" selected="0">
            <x v="3"/>
          </reference>
        </references>
      </pivotArea>
    </chartFormat>
    <chartFormat chart="11" format="81" series="1">
      <pivotArea type="data" outline="0" fieldPosition="0">
        <references count="2">
          <reference field="4294967294" count="1" selected="0">
            <x v="0"/>
          </reference>
          <reference field="1" count="1" selected="0">
            <x v="4"/>
          </reference>
        </references>
      </pivotArea>
    </chartFormat>
    <chartFormat chart="11" format="82" series="1">
      <pivotArea type="data" outline="0" fieldPosition="0">
        <references count="2">
          <reference field="4294967294" count="1" selected="0">
            <x v="0"/>
          </reference>
          <reference field="1" count="1" selected="0">
            <x v="5"/>
          </reference>
        </references>
      </pivotArea>
    </chartFormat>
    <chartFormat chart="11" format="83" series="1">
      <pivotArea type="data" outline="0" fieldPosition="0">
        <references count="2">
          <reference field="4294967294" count="1" selected="0">
            <x v="0"/>
          </reference>
          <reference field="1" count="1" selected="0">
            <x v="6"/>
          </reference>
        </references>
      </pivotArea>
    </chartFormat>
    <chartFormat chart="11" format="84" series="1">
      <pivotArea type="data" outline="0" fieldPosition="0">
        <references count="2">
          <reference field="4294967294" count="1" selected="0">
            <x v="0"/>
          </reference>
          <reference field="1" count="1" selected="0">
            <x v="7"/>
          </reference>
        </references>
      </pivotArea>
    </chartFormat>
    <chartFormat chart="11" format="85" series="1">
      <pivotArea type="data" outline="0" fieldPosition="0">
        <references count="2">
          <reference field="4294967294" count="1" selected="0">
            <x v="0"/>
          </reference>
          <reference field="1" count="1" selected="0">
            <x v="8"/>
          </reference>
        </references>
      </pivotArea>
    </chartFormat>
    <chartFormat chart="11" format="86" series="1">
      <pivotArea type="data" outline="0" fieldPosition="0">
        <references count="2">
          <reference field="4294967294" count="1" selected="0">
            <x v="0"/>
          </reference>
          <reference field="1" count="1" selected="0">
            <x v="9"/>
          </reference>
        </references>
      </pivotArea>
    </chartFormat>
    <chartFormat chart="11" format="87" series="1">
      <pivotArea type="data" outline="0" fieldPosition="0">
        <references count="2">
          <reference field="4294967294" count="1" selected="0">
            <x v="0"/>
          </reference>
          <reference field="1" count="1" selected="0">
            <x v="10"/>
          </reference>
        </references>
      </pivotArea>
    </chartFormat>
    <chartFormat chart="11" format="88" series="1">
      <pivotArea type="data" outline="0" fieldPosition="0">
        <references count="2">
          <reference field="4294967294" count="1" selected="0">
            <x v="0"/>
          </reference>
          <reference field="1" count="1" selected="0">
            <x v="11"/>
          </reference>
        </references>
      </pivotArea>
    </chartFormat>
    <chartFormat chart="11" format="89" series="1">
      <pivotArea type="data" outline="0" fieldPosition="0">
        <references count="2">
          <reference field="4294967294" count="1" selected="0">
            <x v="0"/>
          </reference>
          <reference field="1" count="1" selected="0">
            <x v="12"/>
          </reference>
        </references>
      </pivotArea>
    </chartFormat>
    <chartFormat chart="11" format="90" series="1">
      <pivotArea type="data" outline="0" fieldPosition="0">
        <references count="2">
          <reference field="4294967294" count="1" selected="0">
            <x v="0"/>
          </reference>
          <reference field="1" count="1" selected="0">
            <x v="13"/>
          </reference>
        </references>
      </pivotArea>
    </chartFormat>
    <chartFormat chart="11" format="91" series="1">
      <pivotArea type="data" outline="0" fieldPosition="0">
        <references count="2">
          <reference field="4294967294" count="1" selected="0">
            <x v="0"/>
          </reference>
          <reference field="1" count="1" selected="0">
            <x v="14"/>
          </reference>
        </references>
      </pivotArea>
    </chartFormat>
    <chartFormat chart="11" format="92" series="1">
      <pivotArea type="data" outline="0" fieldPosition="0">
        <references count="2">
          <reference field="4294967294" count="1" selected="0">
            <x v="0"/>
          </reference>
          <reference field="1" count="1" selected="0">
            <x v="15"/>
          </reference>
        </references>
      </pivotArea>
    </chartFormat>
    <chartFormat chart="11" format="93" series="1">
      <pivotArea type="data" outline="0" fieldPosition="0">
        <references count="2">
          <reference field="4294967294" count="1" selected="0">
            <x v="0"/>
          </reference>
          <reference field="1" count="1" selected="0">
            <x v="16"/>
          </reference>
        </references>
      </pivotArea>
    </chartFormat>
    <chartFormat chart="11" format="94" series="1">
      <pivotArea type="data" outline="0" fieldPosition="0">
        <references count="2">
          <reference field="4294967294" count="1" selected="0">
            <x v="0"/>
          </reference>
          <reference field="1" count="1" selected="0">
            <x v="17"/>
          </reference>
        </references>
      </pivotArea>
    </chartFormat>
    <chartFormat chart="11" format="95" series="1">
      <pivotArea type="data" outline="0" fieldPosition="0">
        <references count="2">
          <reference field="4294967294" count="1" selected="0">
            <x v="0"/>
          </reference>
          <reference field="1" count="1" selected="0">
            <x v="18"/>
          </reference>
        </references>
      </pivotArea>
    </chartFormat>
    <chartFormat chart="11" format="96" series="1">
      <pivotArea type="data" outline="0" fieldPosition="0">
        <references count="2">
          <reference field="4294967294" count="1" selected="0">
            <x v="0"/>
          </reference>
          <reference field="1" count="1" selected="0">
            <x v="19"/>
          </reference>
        </references>
      </pivotArea>
    </chartFormat>
    <chartFormat chart="11" format="97" series="1">
      <pivotArea type="data" outline="0" fieldPosition="0">
        <references count="2">
          <reference field="4294967294" count="1" selected="0">
            <x v="0"/>
          </reference>
          <reference field="1" count="1" selected="0">
            <x v="20"/>
          </reference>
        </references>
      </pivotArea>
    </chartFormat>
    <chartFormat chart="11" format="98" series="1">
      <pivotArea type="data" outline="0" fieldPosition="0">
        <references count="2">
          <reference field="4294967294" count="1" selected="0">
            <x v="0"/>
          </reference>
          <reference field="1" count="1" selected="0">
            <x v="21"/>
          </reference>
        </references>
      </pivotArea>
    </chartFormat>
    <chartFormat chart="11" format="99" series="1">
      <pivotArea type="data" outline="0" fieldPosition="0">
        <references count="2">
          <reference field="4294967294" count="1" selected="0">
            <x v="0"/>
          </reference>
          <reference field="1" count="1" selected="0">
            <x v="22"/>
          </reference>
        </references>
      </pivotArea>
    </chartFormat>
    <chartFormat chart="11" format="100" series="1">
      <pivotArea type="data" outline="0" fieldPosition="0">
        <references count="2">
          <reference field="4294967294" count="1" selected="0">
            <x v="0"/>
          </reference>
          <reference field="1" count="1" selected="0">
            <x v="23"/>
          </reference>
        </references>
      </pivotArea>
    </chartFormat>
    <chartFormat chart="11" format="101" series="1">
      <pivotArea type="data" outline="0" fieldPosition="0">
        <references count="2">
          <reference field="4294967294" count="1" selected="0">
            <x v="0"/>
          </reference>
          <reference field="1" count="1" selected="0">
            <x v="24"/>
          </reference>
        </references>
      </pivotArea>
    </chartFormat>
  </chartFormats>
  <pivotHierarchies count="10">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ExpenseTable">
        <x15:activeTabTopLevelEntity name="[Expens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3693CE-BC90-4F55-B11B-80A25A08F538}" name="PivotTable1" cacheId="3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8">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Amount" fld="1" baseField="0" baseItem="0"/>
  </dataFields>
  <chartFormats count="5">
    <chartFormat chart="26" format="66" series="1">
      <pivotArea type="data" outline="0" fieldPosition="0">
        <references count="1">
          <reference field="4294967294" count="1" selected="0">
            <x v="0"/>
          </reference>
        </references>
      </pivotArea>
    </chartFormat>
    <chartFormat chart="26" format="67">
      <pivotArea type="data" outline="0" fieldPosition="0">
        <references count="2">
          <reference field="4294967294" count="1" selected="0">
            <x v="0"/>
          </reference>
          <reference field="0" count="1" selected="0">
            <x v="0"/>
          </reference>
        </references>
      </pivotArea>
    </chartFormat>
    <chartFormat chart="26" format="68">
      <pivotArea type="data" outline="0" fieldPosition="0">
        <references count="2">
          <reference field="4294967294" count="1" selected="0">
            <x v="0"/>
          </reference>
          <reference field="0" count="1" selected="0">
            <x v="1"/>
          </reference>
        </references>
      </pivotArea>
    </chartFormat>
    <chartFormat chart="26" format="69">
      <pivotArea type="data" outline="0" fieldPosition="0">
        <references count="2">
          <reference field="4294967294" count="1" selected="0">
            <x v="0"/>
          </reference>
          <reference field="0" count="1" selected="0">
            <x v="2"/>
          </reference>
        </references>
      </pivotArea>
    </chartFormat>
    <chartFormat chart="26" format="70">
      <pivotArea type="data" outline="0" fieldPosition="0">
        <references count="2">
          <reference field="4294967294" count="1" selected="0">
            <x v="0"/>
          </reference>
          <reference field="0" count="1" selected="0">
            <x v="3"/>
          </reference>
        </references>
      </pivotArea>
    </chartFormat>
  </chartFormats>
  <pivotHierarchies count="10">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ExpenseTable">
        <x15:activeTabTopLevelEntity name="[Expense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37C3AA8B-B1D9-45A1-8ED7-7D0DD33713DF}" sourceName="[ExpenseTable].[Payment Mode]">
  <pivotTables>
    <pivotTable tabId="4" name="PivotTable2"/>
    <pivotTable tabId="12" name="PivotTable1"/>
    <pivotTable tabId="3" name="PivotTable1"/>
  </pivotTables>
  <data>
    <olap pivotCacheId="1132352379">
      <levels count="2">
        <level uniqueName="[ExpenseTable].[Payment Mode].[(All)]" sourceCaption="(All)" count="0"/>
        <level uniqueName="[ExpenseTable].[Payment Mode].[Payment Mode]" sourceCaption="Payment Mode" count="5">
          <ranges>
            <range startItem="0">
              <i n="[ExpenseTable].[Payment Mode].&amp;[Bank Transfer]" c="Bank Transfer"/>
              <i n="[ExpenseTable].[Payment Mode].&amp;[Card]" c="Card"/>
              <i n="[ExpenseTable].[Payment Mode].&amp;[Cash]" c="Cash"/>
              <i n="[ExpenseTable].[Payment Mode].&amp;[UPI]" c="UPI"/>
              <i n="[ExpenseTable].[Payment Mode].&amp;" c="(blank)" nd="1"/>
            </range>
          </ranges>
        </level>
      </levels>
      <selections count="1">
        <selection n="[ExpenseTable].[Payment Mod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9CD6077-B678-4AB9-A22D-FABAE71A8C64}" sourceName="[ExpenseTable].[Category]">
  <pivotTables>
    <pivotTable tabId="3" name="PivotTable1"/>
    <pivotTable tabId="4" name="PivotTable2"/>
    <pivotTable tabId="12" name="PivotTable1"/>
  </pivotTables>
  <data>
    <olap pivotCacheId="1132352379">
      <levels count="2">
        <level uniqueName="[ExpenseTable].[Category].[(All)]" sourceCaption="(All)" count="0"/>
        <level uniqueName="[ExpenseTable].[Category].[Category]" sourceCaption="Category" count="15">
          <ranges>
            <range startItem="0">
              <i n="[ExpenseTable].[Category].&amp;[Bills]" c="Bills"/>
              <i n="[ExpenseTable].[Category].&amp;[Cashback]" c="Cashback"/>
              <i n="[ExpenseTable].[Category].&amp;[Education]" c="Education"/>
              <i n="[ExpenseTable].[Category].&amp;[Entertainment]" c="Entertainment"/>
              <i n="[ExpenseTable].[Category].&amp;[Food]" c="Food"/>
              <i n="[ExpenseTable].[Category].&amp;[Freelance]" c="Freelance"/>
              <i n="[ExpenseTable].[Category].&amp;[Gift]" c="Gift"/>
              <i n="[ExpenseTable].[Category].&amp;[Health]" c="Health"/>
              <i n="[ExpenseTable].[Category].&amp;[Household]" c="Household"/>
              <i n="[ExpenseTable].[Category].&amp;[Salary]" c="Salary"/>
              <i n="[ExpenseTable].[Category].&amp;[Shopping]" c="Shopping"/>
              <i n="[ExpenseTable].[Category].&amp;[Transport]" c="Transport"/>
              <i n="[ExpenseTable].[Category].&amp;[Travel]" c="Travel"/>
              <i n="[ExpenseTable].[Category].&amp;[Utilities]" c="Utilities"/>
              <i n="[ExpenseTable].[Category].&amp;" c="(blank)" nd="1"/>
            </range>
          </ranges>
        </level>
      </levels>
      <selections count="1">
        <selection n="[ExpenseTable].[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974B8320-6964-478C-86B3-E4A0CC6E0F10}" sourceName="[ExpenseTable].[Type]">
  <pivotTables>
    <pivotTable tabId="3" name="PivotTable1"/>
    <pivotTable tabId="4" name="PivotTable2"/>
    <pivotTable tabId="12" name="PivotTable1"/>
  </pivotTables>
  <data>
    <olap pivotCacheId="1132352379">
      <levels count="2">
        <level uniqueName="[ExpenseTable].[Type].[(All)]" sourceCaption="(All)" count="0"/>
        <level uniqueName="[ExpenseTable].[Type].[Type]" sourceCaption="Type" count="3">
          <ranges>
            <range startItem="0">
              <i n="[ExpenseTable].[Type].&amp;[Expense]" c="Expense"/>
              <i n="[ExpenseTable].[Type].&amp;[Income]" c="Income"/>
              <i n="[ExpenseTable].[Type].&amp;" c="(blank)" nd="1"/>
            </range>
          </ranges>
        </level>
      </levels>
      <selections count="1">
        <selection n="[ExpenseTable].[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 Mode" xr10:uid="{271ABE59-3575-4C05-ACBD-07BCCEDB97D9}" cache="Slicer_Payment_Mode" caption="Payment Mode" level="1" style="SlicerStyleDark1" rowHeight="257175"/>
  <slicer name="Category" xr10:uid="{82E62C46-9EE0-4A49-8F46-DA1FC036B896}" cache="Slicer_Category" caption="Category" startItem="2" level="1" style="SlicerStyleDark1" rowHeight="257175"/>
  <slicer name="Type" xr10:uid="{AB196042-9F36-40B6-89CE-453EA0F2DEF1}" cache="Slicer_Type" caption="Type" level="1" style="SlicerStyleDark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F1605B-EDAA-4F9B-920B-AF8A4E7E55BA}" name="ExpenseTable" displayName="ExpenseTable" ref="A1:G31" totalsRowShown="0" headerRowDxfId="8" dataDxfId="7">
  <autoFilter ref="A1:G31" xr:uid="{A6F1605B-EDAA-4F9B-920B-AF8A4E7E55BA}"/>
  <tableColumns count="7">
    <tableColumn id="1" xr3:uid="{3D5064E7-3BFF-465B-87CD-54114DD7ED2E}" name="Date" dataDxfId="6"/>
    <tableColumn id="2" xr3:uid="{E6319786-0AD2-4E54-97AB-AF0F96065102}" name="Type" dataDxfId="5"/>
    <tableColumn id="3" xr3:uid="{0E374DD5-78DE-401F-A925-4108038CD92E}" name="Category" dataDxfId="4"/>
    <tableColumn id="4" xr3:uid="{6BBAB429-9900-4D26-9A39-FC2F1CD3B91C}" name="Description" dataDxfId="3"/>
    <tableColumn id="5" xr3:uid="{89F05F41-9BA8-4388-801B-0DF4C57EF3E0}" name="Amount" dataDxfId="2"/>
    <tableColumn id="6" xr3:uid="{028CC94E-C720-4F3B-9E7B-EED502927152}" name="Payment Mode" dataDxfId="1"/>
    <tableColumn id="7" xr3:uid="{D4833BBE-4217-483E-97D0-B94304BED8F9}" name="Not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0782E-963A-4B98-A562-04596BF74E86}">
  <sheetPr codeName="Sheet1"/>
  <dimension ref="A1:Z1000"/>
  <sheetViews>
    <sheetView showGridLines="0" showRowColHeaders="0" tabSelected="1" topLeftCell="A19" zoomScale="85" zoomScaleNormal="85" workbookViewId="0">
      <selection activeCell="H18" sqref="H18"/>
    </sheetView>
  </sheetViews>
  <sheetFormatPr defaultRowHeight="15" x14ac:dyDescent="0.25"/>
  <cols>
    <col min="1" max="1" width="22.28515625" style="1" customWidth="1"/>
    <col min="2" max="3" width="22.28515625" style="2" customWidth="1"/>
    <col min="4" max="4" width="27.42578125" style="2" customWidth="1"/>
    <col min="5" max="5" width="36.7109375" style="2" customWidth="1"/>
    <col min="6" max="6" width="22.28515625" style="2" customWidth="1"/>
    <col min="7" max="7" width="29.85546875" style="2" customWidth="1"/>
    <col min="8" max="8" width="36.28515625" style="2" customWidth="1"/>
    <col min="9" max="13" width="14.7109375" style="2" customWidth="1"/>
    <col min="14" max="19" width="9.140625" style="2"/>
    <col min="20" max="25" width="9.140625" style="1"/>
    <col min="26" max="26" width="0" style="1" hidden="1" customWidth="1"/>
    <col min="27" max="16384" width="9.140625" style="1"/>
  </cols>
  <sheetData>
    <row r="1" spans="1:26" ht="50.1" customHeight="1" x14ac:dyDescent="0.25">
      <c r="B1" s="27" t="s">
        <v>0</v>
      </c>
      <c r="C1" s="28"/>
      <c r="D1" s="28"/>
      <c r="E1" s="28"/>
      <c r="F1" s="28"/>
      <c r="G1" s="28"/>
      <c r="H1" s="28"/>
      <c r="I1" s="28"/>
      <c r="J1" s="28"/>
      <c r="K1" s="28"/>
      <c r="L1" s="28"/>
      <c r="M1" s="28"/>
      <c r="N1" s="28"/>
      <c r="O1" s="28"/>
      <c r="P1" s="28"/>
      <c r="Q1" s="28"/>
      <c r="R1" s="28"/>
      <c r="S1" s="28"/>
      <c r="Z1" s="1" t="s">
        <v>25</v>
      </c>
    </row>
    <row r="2" spans="1:26" x14ac:dyDescent="0.25">
      <c r="B2" s="14"/>
      <c r="C2" s="14"/>
      <c r="Z2" s="1">
        <v>22</v>
      </c>
    </row>
    <row r="3" spans="1:26" x14ac:dyDescent="0.25">
      <c r="B3" s="14"/>
      <c r="Z3" s="1">
        <v>7</v>
      </c>
    </row>
    <row r="4" spans="1:26" x14ac:dyDescent="0.25">
      <c r="B4" s="15"/>
    </row>
    <row r="9" spans="1:26" x14ac:dyDescent="0.25">
      <c r="A9" s="11"/>
      <c r="B9" s="12"/>
    </row>
    <row r="10" spans="1:26" x14ac:dyDescent="0.25">
      <c r="B10" s="13"/>
    </row>
    <row r="11" spans="1:26" x14ac:dyDescent="0.25">
      <c r="B11" s="13"/>
    </row>
    <row r="12" spans="1:26" x14ac:dyDescent="0.25">
      <c r="B12" s="13"/>
    </row>
    <row r="13" spans="1:26" x14ac:dyDescent="0.25">
      <c r="B13" s="13"/>
    </row>
    <row r="14" spans="1:26" x14ac:dyDescent="0.25">
      <c r="B14" s="13"/>
    </row>
    <row r="15" spans="1:26" x14ac:dyDescent="0.25">
      <c r="B15" s="13"/>
    </row>
    <row r="16" spans="1:26" x14ac:dyDescent="0.25">
      <c r="B16" s="13"/>
    </row>
    <row r="17" spans="2:19" x14ac:dyDescent="0.25">
      <c r="B17" s="13"/>
    </row>
    <row r="18" spans="2:19" x14ac:dyDescent="0.25">
      <c r="B18" s="13"/>
    </row>
    <row r="24" spans="2:19" x14ac:dyDescent="0.25">
      <c r="D24" s="20"/>
    </row>
    <row r="30" spans="2:19" x14ac:dyDescent="0.25">
      <c r="I30"/>
      <c r="J30"/>
      <c r="K30"/>
      <c r="L30"/>
      <c r="M30"/>
      <c r="N30" s="1"/>
      <c r="O30" s="1"/>
      <c r="P30" s="1"/>
      <c r="Q30" s="1"/>
      <c r="R30" s="1"/>
      <c r="S30" s="1"/>
    </row>
    <row r="31" spans="2:19" x14ac:dyDescent="0.25">
      <c r="I31"/>
      <c r="J31"/>
      <c r="K31"/>
      <c r="L31"/>
      <c r="M31"/>
      <c r="N31" s="1"/>
      <c r="O31" s="1"/>
      <c r="P31" s="1"/>
      <c r="Q31" s="1"/>
      <c r="R31" s="1"/>
      <c r="S31" s="1"/>
    </row>
    <row r="32" spans="2:19" x14ac:dyDescent="0.25">
      <c r="I32"/>
      <c r="J32"/>
      <c r="K32"/>
      <c r="L32"/>
      <c r="M32"/>
      <c r="N32" s="1"/>
      <c r="O32" s="1"/>
      <c r="P32" s="1"/>
      <c r="Q32" s="1"/>
      <c r="R32" s="1"/>
      <c r="S32" s="1"/>
    </row>
    <row r="33" spans="9:19" x14ac:dyDescent="0.25">
      <c r="I33"/>
      <c r="J33"/>
      <c r="K33"/>
      <c r="L33"/>
      <c r="M33"/>
      <c r="N33" s="1"/>
      <c r="O33" s="1"/>
      <c r="P33" s="1"/>
      <c r="Q33" s="1"/>
      <c r="R33" s="1"/>
      <c r="S33" s="1"/>
    </row>
    <row r="34" spans="9:19" x14ac:dyDescent="0.25">
      <c r="I34"/>
      <c r="J34"/>
      <c r="K34"/>
      <c r="L34"/>
      <c r="M34"/>
      <c r="N34" s="1"/>
      <c r="O34" s="1"/>
      <c r="P34" s="1"/>
      <c r="Q34" s="1"/>
      <c r="R34" s="1"/>
      <c r="S34" s="1"/>
    </row>
    <row r="35" spans="9:19" x14ac:dyDescent="0.25">
      <c r="I35"/>
      <c r="J35"/>
      <c r="K35"/>
      <c r="L35"/>
      <c r="M35"/>
      <c r="N35" s="1"/>
      <c r="O35" s="1"/>
      <c r="P35" s="1"/>
      <c r="Q35" s="1"/>
      <c r="R35" s="1"/>
      <c r="S35" s="1"/>
    </row>
    <row r="36" spans="9:19" x14ac:dyDescent="0.25">
      <c r="I36"/>
      <c r="J36"/>
      <c r="K36"/>
      <c r="L36"/>
      <c r="M36"/>
      <c r="N36" s="1"/>
      <c r="O36" s="1"/>
      <c r="P36" s="1"/>
      <c r="Q36" s="1"/>
      <c r="R36" s="1"/>
      <c r="S36" s="1"/>
    </row>
    <row r="37" spans="9:19" x14ac:dyDescent="0.25">
      <c r="I37"/>
      <c r="J37"/>
      <c r="K37"/>
      <c r="L37"/>
      <c r="M37"/>
      <c r="N37" s="1"/>
      <c r="O37" s="1"/>
      <c r="P37" s="1"/>
      <c r="Q37" s="1"/>
      <c r="R37" s="1"/>
      <c r="S37" s="1"/>
    </row>
    <row r="38" spans="9:19" x14ac:dyDescent="0.25">
      <c r="I38"/>
      <c r="J38"/>
      <c r="K38"/>
      <c r="L38"/>
      <c r="M38"/>
      <c r="N38" s="1"/>
      <c r="O38" s="1"/>
      <c r="P38" s="1"/>
      <c r="Q38" s="1"/>
      <c r="R38" s="1"/>
      <c r="S38" s="1"/>
    </row>
    <row r="39" spans="9:19" x14ac:dyDescent="0.25">
      <c r="I39"/>
      <c r="J39"/>
      <c r="K39"/>
      <c r="L39"/>
      <c r="M39"/>
      <c r="N39" s="1"/>
      <c r="O39" s="1"/>
      <c r="P39" s="1"/>
      <c r="Q39" s="1"/>
      <c r="R39" s="1"/>
      <c r="S39" s="1"/>
    </row>
    <row r="40" spans="9:19" x14ac:dyDescent="0.25">
      <c r="I40"/>
      <c r="J40"/>
      <c r="K40"/>
      <c r="L40"/>
      <c r="M40"/>
      <c r="N40" s="1"/>
      <c r="O40" s="1"/>
      <c r="P40" s="1"/>
      <c r="Q40" s="1"/>
      <c r="R40" s="1"/>
      <c r="S40" s="1"/>
    </row>
    <row r="41" spans="9:19" x14ac:dyDescent="0.25">
      <c r="I41"/>
      <c r="J41"/>
      <c r="K41"/>
      <c r="L41"/>
      <c r="M41"/>
      <c r="N41" s="1"/>
      <c r="O41" s="1"/>
      <c r="P41" s="1"/>
      <c r="Q41" s="1"/>
      <c r="R41" s="1"/>
      <c r="S41" s="1"/>
    </row>
    <row r="42" spans="9:19" x14ac:dyDescent="0.25">
      <c r="I42"/>
      <c r="J42"/>
      <c r="K42"/>
      <c r="L42"/>
      <c r="M42"/>
      <c r="N42" s="1"/>
      <c r="O42" s="1"/>
      <c r="P42" s="1"/>
      <c r="Q42" s="1"/>
      <c r="R42" s="1"/>
      <c r="S42" s="1"/>
    </row>
    <row r="43" spans="9:19" x14ac:dyDescent="0.25">
      <c r="I43"/>
      <c r="J43"/>
      <c r="K43"/>
      <c r="L43"/>
      <c r="M43"/>
      <c r="N43" s="1"/>
      <c r="O43" s="1"/>
      <c r="P43" s="1"/>
      <c r="Q43" s="1"/>
      <c r="R43" s="1"/>
      <c r="S43" s="1"/>
    </row>
    <row r="44" spans="9:19" x14ac:dyDescent="0.25">
      <c r="I44"/>
      <c r="J44"/>
      <c r="K44"/>
      <c r="L44"/>
      <c r="M44"/>
      <c r="N44" s="1"/>
      <c r="O44" s="1"/>
      <c r="P44" s="1"/>
      <c r="Q44" s="1"/>
      <c r="R44" s="1"/>
      <c r="S44" s="1"/>
    </row>
    <row r="45" spans="9:19" x14ac:dyDescent="0.25">
      <c r="I45"/>
      <c r="J45"/>
      <c r="K45"/>
      <c r="L45"/>
      <c r="M45"/>
      <c r="N45" s="1"/>
      <c r="O45" s="1"/>
      <c r="P45" s="1"/>
      <c r="Q45" s="1"/>
      <c r="R45" s="1"/>
      <c r="S45" s="1"/>
    </row>
    <row r="46" spans="9:19" x14ac:dyDescent="0.25">
      <c r="I46"/>
      <c r="J46"/>
      <c r="K46"/>
      <c r="L46"/>
      <c r="M46"/>
      <c r="N46" s="1"/>
      <c r="O46" s="1"/>
      <c r="P46" s="1"/>
      <c r="Q46" s="1"/>
      <c r="R46" s="1"/>
      <c r="S46" s="1"/>
    </row>
    <row r="47" spans="9:19" x14ac:dyDescent="0.25">
      <c r="I47"/>
      <c r="J47"/>
      <c r="K47"/>
      <c r="L47"/>
      <c r="M47"/>
      <c r="N47" s="1"/>
      <c r="O47" s="1"/>
      <c r="P47" s="1"/>
      <c r="Q47" s="1"/>
      <c r="R47" s="1"/>
      <c r="S47" s="1"/>
    </row>
    <row r="48" spans="9:19" x14ac:dyDescent="0.25">
      <c r="I48"/>
      <c r="J48"/>
      <c r="K48"/>
      <c r="L48"/>
      <c r="M48"/>
      <c r="N48" s="1"/>
      <c r="O48" s="1"/>
      <c r="P48" s="1"/>
      <c r="Q48" s="1"/>
      <c r="R48" s="1"/>
      <c r="S48" s="1"/>
    </row>
    <row r="49" spans="2:19" x14ac:dyDescent="0.25">
      <c r="I49"/>
      <c r="J49"/>
      <c r="K49"/>
      <c r="L49"/>
      <c r="M49"/>
      <c r="N49" s="1"/>
      <c r="O49" s="1"/>
      <c r="P49" s="1"/>
      <c r="Q49" s="1"/>
      <c r="R49" s="1"/>
      <c r="S49" s="1"/>
    </row>
    <row r="50" spans="2:19" x14ac:dyDescent="0.25">
      <c r="I50"/>
      <c r="J50"/>
      <c r="K50"/>
      <c r="L50"/>
      <c r="M50"/>
      <c r="N50" s="1"/>
      <c r="O50" s="1"/>
      <c r="P50" s="1"/>
      <c r="Q50" s="1"/>
      <c r="R50" s="1"/>
      <c r="S50" s="1"/>
    </row>
    <row r="51" spans="2:19" x14ac:dyDescent="0.25">
      <c r="I51"/>
      <c r="J51"/>
      <c r="K51"/>
      <c r="L51"/>
      <c r="M51"/>
      <c r="N51" s="1"/>
      <c r="O51" s="1"/>
      <c r="P51" s="1"/>
      <c r="Q51" s="1"/>
      <c r="R51" s="1"/>
      <c r="S51" s="1"/>
    </row>
    <row r="52" spans="2:19" x14ac:dyDescent="0.25">
      <c r="I52"/>
      <c r="J52"/>
      <c r="K52"/>
      <c r="L52"/>
      <c r="M52"/>
    </row>
    <row r="53" spans="2:19" ht="20.100000000000001" customHeight="1" x14ac:dyDescent="0.25">
      <c r="I53"/>
      <c r="J53"/>
      <c r="K53"/>
      <c r="L53"/>
      <c r="M53"/>
    </row>
    <row r="54" spans="2:19" ht="20.100000000000001" customHeight="1" x14ac:dyDescent="0.25">
      <c r="I54"/>
      <c r="J54"/>
      <c r="K54"/>
      <c r="L54"/>
      <c r="M54"/>
    </row>
    <row r="55" spans="2:19" ht="20.100000000000001" customHeight="1" x14ac:dyDescent="0.25">
      <c r="I55"/>
      <c r="J55"/>
      <c r="K55"/>
      <c r="L55"/>
      <c r="M55"/>
    </row>
    <row r="56" spans="2:19" ht="20.100000000000001" customHeight="1" x14ac:dyDescent="0.25">
      <c r="I56"/>
      <c r="J56"/>
      <c r="K56"/>
      <c r="L56"/>
      <c r="M56"/>
    </row>
    <row r="57" spans="2:19" x14ac:dyDescent="0.25">
      <c r="I57"/>
      <c r="J57"/>
      <c r="K57"/>
      <c r="L57"/>
      <c r="M57"/>
    </row>
    <row r="58" spans="2:19" x14ac:dyDescent="0.25">
      <c r="I58"/>
      <c r="J58"/>
      <c r="K58"/>
      <c r="L58"/>
      <c r="M58"/>
    </row>
    <row r="59" spans="2:19" x14ac:dyDescent="0.25">
      <c r="I59"/>
      <c r="J59"/>
      <c r="K59"/>
      <c r="L59"/>
      <c r="M59"/>
    </row>
    <row r="60" spans="2:19" x14ac:dyDescent="0.25">
      <c r="B60"/>
      <c r="C60"/>
      <c r="D60"/>
      <c r="E60"/>
      <c r="F60"/>
      <c r="G60"/>
      <c r="H60"/>
      <c r="I60"/>
      <c r="J60"/>
      <c r="K60"/>
      <c r="L60"/>
      <c r="M60"/>
    </row>
    <row r="61" spans="2:19" x14ac:dyDescent="0.25">
      <c r="B61"/>
      <c r="C61"/>
      <c r="D61"/>
      <c r="E61"/>
      <c r="F61"/>
      <c r="G61"/>
      <c r="H61"/>
      <c r="I61"/>
      <c r="J61"/>
      <c r="K61"/>
      <c r="L61"/>
      <c r="M61"/>
    </row>
    <row r="62" spans="2:19" x14ac:dyDescent="0.25">
      <c r="B62"/>
      <c r="C62"/>
      <c r="D62"/>
      <c r="E62"/>
      <c r="F62"/>
      <c r="G62"/>
      <c r="H62"/>
      <c r="I62"/>
      <c r="J62"/>
      <c r="K62"/>
      <c r="L62"/>
      <c r="M62"/>
    </row>
    <row r="63" spans="2:19" x14ac:dyDescent="0.25">
      <c r="B63"/>
      <c r="C63"/>
      <c r="D63"/>
      <c r="E63"/>
      <c r="F63"/>
      <c r="G63"/>
      <c r="H63"/>
      <c r="I63"/>
      <c r="J63"/>
      <c r="K63"/>
      <c r="L63"/>
      <c r="M63"/>
    </row>
    <row r="64" spans="2:19" x14ac:dyDescent="0.25">
      <c r="B64"/>
      <c r="C64"/>
      <c r="D64"/>
      <c r="E64"/>
      <c r="F64"/>
      <c r="G64"/>
      <c r="H64"/>
      <c r="I64"/>
      <c r="J64"/>
      <c r="K64"/>
      <c r="L64"/>
      <c r="M64"/>
    </row>
    <row r="65" spans="2:13" x14ac:dyDescent="0.25">
      <c r="B65"/>
      <c r="C65"/>
      <c r="D65"/>
      <c r="E65"/>
      <c r="F65"/>
      <c r="G65"/>
      <c r="H65"/>
      <c r="I65"/>
      <c r="J65"/>
      <c r="K65"/>
      <c r="L65"/>
      <c r="M65"/>
    </row>
    <row r="66" spans="2:13" x14ac:dyDescent="0.25">
      <c r="B66"/>
      <c r="C66"/>
      <c r="D66"/>
      <c r="E66"/>
      <c r="F66"/>
      <c r="G66"/>
      <c r="H66"/>
      <c r="I66"/>
      <c r="J66"/>
      <c r="K66"/>
      <c r="L66"/>
      <c r="M66"/>
    </row>
    <row r="67" spans="2:13" x14ac:dyDescent="0.25">
      <c r="B67"/>
      <c r="C67"/>
      <c r="D67"/>
      <c r="E67"/>
      <c r="F67"/>
      <c r="G67"/>
      <c r="H67"/>
      <c r="I67"/>
      <c r="J67"/>
      <c r="K67"/>
      <c r="L67"/>
      <c r="M67"/>
    </row>
    <row r="68" spans="2:13" x14ac:dyDescent="0.25">
      <c r="B68"/>
      <c r="C68"/>
      <c r="D68"/>
      <c r="E68"/>
      <c r="F68"/>
      <c r="G68"/>
      <c r="H68"/>
      <c r="I68"/>
      <c r="J68"/>
      <c r="K68"/>
      <c r="L68"/>
      <c r="M68"/>
    </row>
    <row r="69" spans="2:13" x14ac:dyDescent="0.25">
      <c r="B69"/>
      <c r="C69"/>
      <c r="D69"/>
      <c r="E69"/>
      <c r="F69"/>
      <c r="G69"/>
      <c r="H69"/>
      <c r="I69"/>
      <c r="J69"/>
      <c r="K69"/>
      <c r="L69"/>
      <c r="M69"/>
    </row>
    <row r="70" spans="2:13" x14ac:dyDescent="0.25">
      <c r="B70"/>
      <c r="C70"/>
      <c r="D70"/>
      <c r="E70"/>
      <c r="F70"/>
      <c r="G70"/>
      <c r="H70"/>
      <c r="I70"/>
      <c r="J70"/>
      <c r="K70"/>
      <c r="L70"/>
      <c r="M70"/>
    </row>
    <row r="71" spans="2:13" x14ac:dyDescent="0.25">
      <c r="B71"/>
      <c r="C71"/>
      <c r="D71"/>
      <c r="E71"/>
      <c r="F71"/>
      <c r="G71"/>
      <c r="H71"/>
      <c r="I71"/>
      <c r="J71"/>
      <c r="K71"/>
      <c r="L71"/>
      <c r="M71"/>
    </row>
    <row r="72" spans="2:13" x14ac:dyDescent="0.25">
      <c r="B72"/>
      <c r="C72"/>
      <c r="D72"/>
      <c r="E72" s="17"/>
      <c r="F72" s="19"/>
      <c r="G72"/>
      <c r="H72"/>
      <c r="I72"/>
      <c r="J72"/>
      <c r="K72"/>
      <c r="L72"/>
      <c r="M72"/>
    </row>
    <row r="73" spans="2:13" x14ac:dyDescent="0.25">
      <c r="B73"/>
      <c r="C73"/>
      <c r="D73"/>
      <c r="E73"/>
      <c r="F73" s="18"/>
      <c r="G73"/>
      <c r="H73"/>
      <c r="I73"/>
      <c r="J73"/>
      <c r="K73"/>
      <c r="L73"/>
      <c r="M73"/>
    </row>
    <row r="74" spans="2:13" x14ac:dyDescent="0.25">
      <c r="B74"/>
      <c r="C74"/>
      <c r="D74"/>
      <c r="E74"/>
      <c r="F74"/>
      <c r="G74"/>
      <c r="H74"/>
      <c r="I74"/>
      <c r="J74"/>
      <c r="K74"/>
      <c r="L74"/>
      <c r="M74"/>
    </row>
    <row r="75" spans="2:13" x14ac:dyDescent="0.25">
      <c r="B75"/>
      <c r="C75"/>
      <c r="D75"/>
      <c r="E75"/>
      <c r="F75"/>
      <c r="G75"/>
      <c r="H75"/>
      <c r="I75"/>
      <c r="J75"/>
      <c r="K75"/>
      <c r="L75"/>
      <c r="M75"/>
    </row>
    <row r="76" spans="2:13" x14ac:dyDescent="0.25">
      <c r="B76"/>
      <c r="C76"/>
      <c r="D76"/>
      <c r="E76"/>
      <c r="F76"/>
      <c r="G76"/>
      <c r="H76"/>
      <c r="I76"/>
      <c r="J76"/>
      <c r="K76"/>
      <c r="L76"/>
      <c r="M76"/>
    </row>
    <row r="77" spans="2:13" x14ac:dyDescent="0.25">
      <c r="B77"/>
      <c r="C77"/>
      <c r="D77"/>
      <c r="E77"/>
      <c r="F77"/>
      <c r="G77"/>
      <c r="H77"/>
      <c r="I77"/>
      <c r="J77"/>
      <c r="K77"/>
      <c r="L77"/>
      <c r="M77"/>
    </row>
    <row r="78" spans="2:13" x14ac:dyDescent="0.25">
      <c r="B78"/>
      <c r="C78"/>
      <c r="D78"/>
      <c r="E78"/>
      <c r="F78"/>
      <c r="G78"/>
      <c r="H78"/>
      <c r="I78"/>
      <c r="J78"/>
      <c r="K78"/>
      <c r="L78"/>
      <c r="M78"/>
    </row>
    <row r="79" spans="2:13" x14ac:dyDescent="0.25">
      <c r="B79"/>
      <c r="C79"/>
      <c r="D79"/>
      <c r="E79"/>
      <c r="F79"/>
      <c r="G79"/>
      <c r="H79"/>
      <c r="I79"/>
      <c r="J79"/>
      <c r="K79"/>
      <c r="L79"/>
      <c r="M79"/>
    </row>
    <row r="80" spans="2: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c r="I93"/>
      <c r="J93"/>
      <c r="K93"/>
      <c r="L93"/>
      <c r="M93"/>
    </row>
    <row r="94" spans="2:13" x14ac:dyDescent="0.25">
      <c r="B94"/>
      <c r="C94"/>
      <c r="D94"/>
      <c r="E94"/>
      <c r="F94"/>
      <c r="G94"/>
      <c r="H94"/>
      <c r="I94"/>
      <c r="J94"/>
      <c r="K94"/>
      <c r="L94"/>
      <c r="M94"/>
    </row>
    <row r="95" spans="2:13" x14ac:dyDescent="0.25">
      <c r="B95"/>
      <c r="C95"/>
      <c r="D95"/>
      <c r="E95"/>
      <c r="F95"/>
      <c r="G95"/>
      <c r="H95"/>
      <c r="I95"/>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c r="K103"/>
      <c r="L103"/>
      <c r="M103"/>
    </row>
    <row r="104" spans="2:13" x14ac:dyDescent="0.25">
      <c r="B104"/>
      <c r="C104"/>
      <c r="D104"/>
      <c r="E104"/>
      <c r="F104"/>
      <c r="G104"/>
      <c r="H104"/>
      <c r="I104"/>
      <c r="J104"/>
      <c r="K104"/>
      <c r="L104"/>
      <c r="M104"/>
    </row>
    <row r="105" spans="2:13" x14ac:dyDescent="0.25">
      <c r="B105"/>
      <c r="C105"/>
      <c r="D105"/>
      <c r="E105"/>
      <c r="F105"/>
      <c r="G105"/>
      <c r="H105"/>
      <c r="I105"/>
      <c r="J105"/>
      <c r="K105"/>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c r="G112"/>
      <c r="H112"/>
      <c r="I112"/>
      <c r="J112"/>
      <c r="K112"/>
      <c r="L112"/>
      <c r="M112"/>
    </row>
    <row r="113" spans="2:13" x14ac:dyDescent="0.25">
      <c r="B113"/>
      <c r="C113"/>
      <c r="D113"/>
      <c r="E113"/>
      <c r="F113"/>
      <c r="G113"/>
      <c r="H113"/>
      <c r="I113"/>
      <c r="J113"/>
      <c r="K113"/>
      <c r="L113"/>
      <c r="M113"/>
    </row>
    <row r="114" spans="2:13" x14ac:dyDescent="0.25">
      <c r="B114"/>
      <c r="C114"/>
      <c r="D114"/>
      <c r="E114"/>
      <c r="F114"/>
      <c r="G114"/>
      <c r="H114"/>
      <c r="I114"/>
      <c r="J114"/>
      <c r="K114"/>
      <c r="L114"/>
      <c r="M114"/>
    </row>
    <row r="115" spans="2:13" x14ac:dyDescent="0.25">
      <c r="B115"/>
      <c r="C115"/>
      <c r="D115"/>
      <c r="E115"/>
      <c r="F115"/>
      <c r="G115"/>
      <c r="H115"/>
      <c r="I115"/>
      <c r="J115"/>
      <c r="K115"/>
      <c r="L115"/>
      <c r="M115"/>
    </row>
    <row r="116" spans="2:13" x14ac:dyDescent="0.25">
      <c r="B116"/>
      <c r="C116"/>
      <c r="D116"/>
      <c r="E116"/>
      <c r="F116"/>
      <c r="G116"/>
      <c r="H116"/>
      <c r="I116"/>
      <c r="J116"/>
      <c r="K116"/>
      <c r="L116"/>
      <c r="M116"/>
    </row>
    <row r="117" spans="2:13" x14ac:dyDescent="0.25">
      <c r="B117"/>
      <c r="C117"/>
      <c r="D117"/>
      <c r="E117"/>
      <c r="F117"/>
      <c r="G117"/>
      <c r="H117"/>
      <c r="I117"/>
      <c r="J117"/>
      <c r="K117"/>
      <c r="L117"/>
      <c r="M117"/>
    </row>
    <row r="118" spans="2:13" x14ac:dyDescent="0.25">
      <c r="B118"/>
      <c r="C118"/>
      <c r="D118"/>
      <c r="E118"/>
      <c r="F118"/>
      <c r="G118"/>
      <c r="H118"/>
      <c r="I118"/>
      <c r="J118"/>
      <c r="K118"/>
      <c r="L118"/>
      <c r="M118"/>
    </row>
    <row r="119" spans="2:13" x14ac:dyDescent="0.25">
      <c r="B119"/>
      <c r="C119"/>
      <c r="D119"/>
      <c r="E119"/>
      <c r="F119"/>
      <c r="G119"/>
      <c r="H119"/>
      <c r="I119"/>
      <c r="J119"/>
      <c r="K119"/>
      <c r="L119"/>
      <c r="M119"/>
    </row>
    <row r="120" spans="2:13" x14ac:dyDescent="0.25">
      <c r="B120"/>
      <c r="C120"/>
      <c r="D120"/>
      <c r="E120"/>
      <c r="F120"/>
      <c r="G120"/>
      <c r="H120"/>
      <c r="I120"/>
      <c r="J120"/>
      <c r="K120"/>
      <c r="L120"/>
      <c r="M120"/>
    </row>
    <row r="121" spans="2:13" x14ac:dyDescent="0.25">
      <c r="B121"/>
      <c r="C121"/>
      <c r="D121"/>
      <c r="E121"/>
      <c r="F121"/>
      <c r="G121"/>
      <c r="H121"/>
      <c r="I121"/>
      <c r="J121"/>
      <c r="K121"/>
      <c r="L121"/>
      <c r="M121"/>
    </row>
    <row r="122" spans="2:13" x14ac:dyDescent="0.25">
      <c r="B122"/>
      <c r="C122"/>
      <c r="D122"/>
      <c r="E122"/>
      <c r="F122"/>
      <c r="G122"/>
      <c r="H122"/>
      <c r="I122"/>
      <c r="J122"/>
      <c r="K122"/>
      <c r="L122"/>
      <c r="M122"/>
    </row>
    <row r="123" spans="2:13" x14ac:dyDescent="0.25">
      <c r="B123"/>
      <c r="C123"/>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x14ac:dyDescent="0.25">
      <c r="B137"/>
      <c r="C137"/>
      <c r="D137"/>
      <c r="E137"/>
      <c r="F137"/>
      <c r="G137"/>
      <c r="H137"/>
      <c r="I137"/>
      <c r="J137"/>
      <c r="K137"/>
      <c r="L137"/>
      <c r="M137"/>
    </row>
    <row r="138" spans="2:13" x14ac:dyDescent="0.25">
      <c r="B138"/>
      <c r="C138"/>
      <c r="D138"/>
      <c r="E138"/>
      <c r="F138"/>
      <c r="G138"/>
      <c r="H138"/>
      <c r="I138"/>
      <c r="J138"/>
      <c r="K138"/>
      <c r="L138"/>
      <c r="M138"/>
    </row>
    <row r="139" spans="2:13" x14ac:dyDescent="0.25">
      <c r="B139"/>
      <c r="C139"/>
      <c r="D139"/>
      <c r="E139"/>
      <c r="F139"/>
      <c r="G139"/>
      <c r="H139"/>
      <c r="I139"/>
      <c r="J139"/>
      <c r="K139"/>
      <c r="L139"/>
      <c r="M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H462"/>
      <c r="I462"/>
      <c r="J462"/>
      <c r="K462"/>
      <c r="L462"/>
      <c r="M462"/>
    </row>
    <row r="463" spans="2:13" x14ac:dyDescent="0.25">
      <c r="B463"/>
      <c r="C463"/>
      <c r="D463"/>
      <c r="E463"/>
      <c r="F463"/>
      <c r="G463"/>
      <c r="H463"/>
      <c r="I463"/>
      <c r="J463"/>
      <c r="K463"/>
      <c r="L463"/>
      <c r="M463"/>
    </row>
    <row r="464" spans="2:13" x14ac:dyDescent="0.25">
      <c r="B464"/>
      <c r="C464"/>
      <c r="D464"/>
      <c r="E464"/>
      <c r="F464"/>
      <c r="G464"/>
      <c r="H464"/>
      <c r="I464"/>
      <c r="J464"/>
      <c r="K464"/>
      <c r="L464"/>
      <c r="M464"/>
    </row>
    <row r="465" spans="2:13" x14ac:dyDescent="0.25">
      <c r="B465"/>
      <c r="C465"/>
      <c r="D465"/>
      <c r="E465"/>
      <c r="F465"/>
      <c r="G465"/>
      <c r="H465"/>
      <c r="I465"/>
      <c r="J465"/>
      <c r="K465"/>
      <c r="L465"/>
      <c r="M465"/>
    </row>
    <row r="466" spans="2:13" x14ac:dyDescent="0.25">
      <c r="B466"/>
      <c r="C466"/>
      <c r="D466"/>
      <c r="E466"/>
      <c r="F466"/>
      <c r="G466"/>
      <c r="H466"/>
      <c r="I466"/>
      <c r="J466"/>
      <c r="K466"/>
      <c r="L466"/>
      <c r="M466"/>
    </row>
    <row r="467" spans="2:13" x14ac:dyDescent="0.25">
      <c r="B467"/>
      <c r="C467"/>
      <c r="D467"/>
      <c r="E467"/>
      <c r="F467"/>
      <c r="G467"/>
      <c r="H467"/>
      <c r="I467"/>
      <c r="J467"/>
      <c r="K467"/>
      <c r="L467"/>
      <c r="M467"/>
    </row>
    <row r="468" spans="2:13" x14ac:dyDescent="0.25">
      <c r="B468"/>
      <c r="C468"/>
      <c r="D468"/>
      <c r="E468"/>
      <c r="F468"/>
      <c r="G468"/>
      <c r="H468"/>
      <c r="I468"/>
      <c r="J468"/>
      <c r="K468"/>
      <c r="L468"/>
      <c r="M468"/>
    </row>
    <row r="469" spans="2:13" x14ac:dyDescent="0.25">
      <c r="B469"/>
      <c r="C469"/>
      <c r="D469"/>
      <c r="E469"/>
      <c r="F469"/>
      <c r="G469"/>
      <c r="H469"/>
      <c r="I469"/>
      <c r="J469"/>
      <c r="K469"/>
      <c r="L469"/>
      <c r="M469"/>
    </row>
    <row r="470" spans="2:13" x14ac:dyDescent="0.25">
      <c r="B470"/>
      <c r="C470"/>
      <c r="D470"/>
      <c r="E470"/>
      <c r="F470"/>
      <c r="G470"/>
      <c r="H470"/>
      <c r="I470"/>
      <c r="J470"/>
      <c r="K470"/>
      <c r="L470"/>
      <c r="M470"/>
    </row>
    <row r="471" spans="2:13" x14ac:dyDescent="0.25">
      <c r="B471"/>
      <c r="C471"/>
      <c r="D471"/>
      <c r="E471"/>
      <c r="F471"/>
      <c r="G471"/>
      <c r="H471"/>
      <c r="I471"/>
      <c r="J471"/>
      <c r="K471"/>
      <c r="L471"/>
      <c r="M471"/>
    </row>
    <row r="472" spans="2:13" x14ac:dyDescent="0.25">
      <c r="B472"/>
      <c r="C472"/>
      <c r="D472"/>
      <c r="E472"/>
      <c r="F472"/>
      <c r="G472"/>
      <c r="H472"/>
      <c r="I472"/>
      <c r="J472"/>
      <c r="K472"/>
      <c r="L472"/>
      <c r="M472"/>
    </row>
    <row r="473" spans="2:13" x14ac:dyDescent="0.25">
      <c r="B473"/>
      <c r="C473"/>
      <c r="D473"/>
      <c r="E473"/>
      <c r="F473"/>
      <c r="G473"/>
      <c r="H473"/>
      <c r="I473"/>
      <c r="J473"/>
      <c r="K473"/>
      <c r="L473"/>
      <c r="M473"/>
    </row>
    <row r="474" spans="2:13" x14ac:dyDescent="0.25">
      <c r="B474"/>
      <c r="C474"/>
      <c r="D474"/>
      <c r="E474"/>
      <c r="F474"/>
      <c r="G474"/>
      <c r="H474"/>
      <c r="I474"/>
      <c r="J474"/>
      <c r="K474"/>
      <c r="L474"/>
      <c r="M474"/>
    </row>
    <row r="475" spans="2:13" x14ac:dyDescent="0.25">
      <c r="B475"/>
      <c r="C475"/>
      <c r="D475"/>
      <c r="E475"/>
      <c r="F475"/>
      <c r="G475"/>
      <c r="H475"/>
      <c r="I475"/>
      <c r="J475"/>
      <c r="K475"/>
      <c r="L475"/>
      <c r="M475"/>
    </row>
    <row r="476" spans="2:13" x14ac:dyDescent="0.25">
      <c r="B476"/>
      <c r="C476"/>
      <c r="D476"/>
      <c r="E476"/>
      <c r="F476"/>
      <c r="G476"/>
      <c r="H476"/>
      <c r="I476"/>
      <c r="J476"/>
      <c r="K476"/>
      <c r="L476"/>
      <c r="M476"/>
    </row>
    <row r="477" spans="2:13" x14ac:dyDescent="0.25">
      <c r="B477"/>
      <c r="C477"/>
      <c r="D477"/>
      <c r="E477"/>
      <c r="F477"/>
      <c r="G477"/>
      <c r="H477"/>
      <c r="I477"/>
      <c r="J477"/>
      <c r="K477"/>
      <c r="L477"/>
      <c r="M477"/>
    </row>
    <row r="478" spans="2:13" x14ac:dyDescent="0.25">
      <c r="B478"/>
      <c r="C478"/>
      <c r="D478"/>
      <c r="E478"/>
      <c r="F478"/>
      <c r="G478"/>
      <c r="H478"/>
      <c r="I478"/>
      <c r="J478"/>
      <c r="K478"/>
      <c r="L478"/>
      <c r="M478"/>
    </row>
    <row r="479" spans="2:13" x14ac:dyDescent="0.25">
      <c r="B479"/>
      <c r="C479"/>
      <c r="D479"/>
      <c r="E479"/>
      <c r="F479"/>
      <c r="G479"/>
      <c r="H479"/>
      <c r="I479"/>
      <c r="J479"/>
      <c r="K479"/>
      <c r="L479"/>
      <c r="M479"/>
    </row>
    <row r="480" spans="2:13" x14ac:dyDescent="0.25">
      <c r="B480"/>
      <c r="C480"/>
      <c r="D480"/>
      <c r="E480"/>
      <c r="F480"/>
      <c r="G480"/>
      <c r="H480"/>
      <c r="I480"/>
      <c r="J480"/>
      <c r="K480"/>
      <c r="L480"/>
      <c r="M480"/>
    </row>
    <row r="481" spans="2:13" x14ac:dyDescent="0.25">
      <c r="B481"/>
      <c r="C481"/>
      <c r="D481"/>
      <c r="E481"/>
      <c r="F481"/>
      <c r="G481"/>
      <c r="H481"/>
      <c r="I481"/>
      <c r="J481"/>
      <c r="K481"/>
      <c r="L481"/>
      <c r="M481"/>
    </row>
    <row r="482" spans="2:13" x14ac:dyDescent="0.25">
      <c r="B482"/>
      <c r="C482"/>
      <c r="D482"/>
      <c r="E482"/>
      <c r="F482"/>
      <c r="G482"/>
      <c r="H482"/>
      <c r="I482"/>
      <c r="J482"/>
      <c r="K482"/>
      <c r="L482"/>
      <c r="M482"/>
    </row>
    <row r="483" spans="2:13" x14ac:dyDescent="0.25">
      <c r="B483"/>
      <c r="C483"/>
      <c r="D483"/>
      <c r="E483"/>
      <c r="F483"/>
      <c r="G483"/>
      <c r="H483"/>
      <c r="I483"/>
      <c r="J483"/>
      <c r="K483"/>
      <c r="L483"/>
      <c r="M483"/>
    </row>
    <row r="484" spans="2:13" x14ac:dyDescent="0.25">
      <c r="B484"/>
      <c r="C484"/>
      <c r="D484"/>
      <c r="E484"/>
      <c r="F484"/>
      <c r="G484"/>
      <c r="H484"/>
      <c r="I484"/>
      <c r="J484"/>
      <c r="K484"/>
      <c r="L484"/>
      <c r="M484"/>
    </row>
    <row r="485" spans="2:13" x14ac:dyDescent="0.25">
      <c r="B485"/>
      <c r="C485"/>
      <c r="D485"/>
      <c r="E485"/>
      <c r="F485"/>
      <c r="G485"/>
      <c r="H485"/>
      <c r="I485"/>
      <c r="J485"/>
      <c r="K485"/>
      <c r="L485"/>
      <c r="M485"/>
    </row>
    <row r="486" spans="2:13" x14ac:dyDescent="0.25">
      <c r="B486"/>
      <c r="C486"/>
      <c r="D486"/>
      <c r="E486"/>
      <c r="F486"/>
      <c r="G486"/>
      <c r="H486"/>
      <c r="I486"/>
      <c r="J486"/>
      <c r="K486"/>
      <c r="L486"/>
      <c r="M486"/>
    </row>
    <row r="487" spans="2:13" x14ac:dyDescent="0.25">
      <c r="B487"/>
      <c r="C487"/>
      <c r="D487"/>
      <c r="E487"/>
      <c r="F487"/>
      <c r="G487"/>
      <c r="H487"/>
      <c r="I487"/>
      <c r="J487"/>
      <c r="K487"/>
      <c r="L487"/>
      <c r="M487"/>
    </row>
    <row r="488" spans="2:13" x14ac:dyDescent="0.25">
      <c r="B488"/>
      <c r="C488"/>
      <c r="D488"/>
      <c r="E488"/>
      <c r="F488"/>
      <c r="G488"/>
      <c r="H488"/>
      <c r="I488"/>
      <c r="J488"/>
      <c r="K488"/>
      <c r="L488"/>
      <c r="M488"/>
    </row>
    <row r="489" spans="2:13" x14ac:dyDescent="0.25">
      <c r="B489"/>
      <c r="C489"/>
      <c r="D489"/>
      <c r="E489"/>
      <c r="F489"/>
      <c r="G489"/>
      <c r="H489"/>
      <c r="I489"/>
      <c r="J489"/>
      <c r="K489"/>
      <c r="L489"/>
      <c r="M489"/>
    </row>
    <row r="490" spans="2:13" x14ac:dyDescent="0.25">
      <c r="B490"/>
      <c r="C490"/>
      <c r="D490"/>
      <c r="E490"/>
      <c r="F490"/>
      <c r="G490"/>
      <c r="H490"/>
      <c r="I490"/>
      <c r="J490"/>
      <c r="K490"/>
      <c r="L490"/>
      <c r="M490"/>
    </row>
    <row r="491" spans="2:13" x14ac:dyDescent="0.25">
      <c r="B491"/>
      <c r="C491"/>
      <c r="D491"/>
      <c r="E491"/>
      <c r="F491"/>
      <c r="G491"/>
      <c r="H491"/>
      <c r="I491"/>
      <c r="J491"/>
      <c r="K491"/>
      <c r="L491"/>
      <c r="M491"/>
    </row>
    <row r="492" spans="2:13" x14ac:dyDescent="0.25">
      <c r="B492"/>
      <c r="C492"/>
      <c r="D492"/>
      <c r="E492"/>
      <c r="F492"/>
      <c r="G492"/>
      <c r="H492"/>
      <c r="I492"/>
      <c r="J492"/>
      <c r="K492"/>
      <c r="L492"/>
      <c r="M492"/>
    </row>
    <row r="493" spans="2:13" x14ac:dyDescent="0.25">
      <c r="B493"/>
      <c r="C493"/>
      <c r="D493"/>
      <c r="E493"/>
      <c r="F493"/>
      <c r="G493"/>
      <c r="H493"/>
      <c r="I493"/>
      <c r="J493"/>
      <c r="K493"/>
      <c r="L493"/>
      <c r="M493"/>
    </row>
    <row r="494" spans="2:13" x14ac:dyDescent="0.25">
      <c r="B494"/>
      <c r="C494"/>
      <c r="D494"/>
      <c r="E494"/>
      <c r="F494"/>
      <c r="G494"/>
      <c r="H494"/>
      <c r="I494"/>
      <c r="J494"/>
      <c r="K494"/>
      <c r="L494"/>
      <c r="M494"/>
    </row>
    <row r="495" spans="2:13" x14ac:dyDescent="0.25">
      <c r="B495"/>
      <c r="C495"/>
      <c r="D495"/>
      <c r="E495"/>
      <c r="F495"/>
      <c r="G495"/>
      <c r="H495"/>
      <c r="I495"/>
      <c r="J495"/>
      <c r="K495"/>
      <c r="L495"/>
      <c r="M495"/>
    </row>
    <row r="496" spans="2:13" x14ac:dyDescent="0.25">
      <c r="B496"/>
      <c r="C496"/>
      <c r="D496"/>
      <c r="E496"/>
      <c r="F496"/>
      <c r="G496"/>
      <c r="H496"/>
      <c r="I496"/>
      <c r="J496"/>
      <c r="K496"/>
      <c r="L496"/>
      <c r="M496"/>
    </row>
    <row r="497" spans="2:13" x14ac:dyDescent="0.25">
      <c r="B497"/>
      <c r="C497"/>
      <c r="D497"/>
      <c r="E497"/>
      <c r="F497"/>
      <c r="G497"/>
      <c r="H497"/>
      <c r="I497"/>
      <c r="J497"/>
      <c r="K497"/>
      <c r="L497"/>
      <c r="M497"/>
    </row>
    <row r="498" spans="2:13" x14ac:dyDescent="0.25">
      <c r="B498"/>
      <c r="C498"/>
      <c r="D498"/>
      <c r="E498"/>
      <c r="F498"/>
      <c r="G498"/>
      <c r="H498"/>
      <c r="I498"/>
      <c r="J498"/>
      <c r="K498"/>
      <c r="L498"/>
      <c r="M498"/>
    </row>
    <row r="499" spans="2:13" x14ac:dyDescent="0.25">
      <c r="B499"/>
      <c r="C499"/>
      <c r="D499"/>
      <c r="E499"/>
      <c r="F499"/>
      <c r="G499"/>
      <c r="H499"/>
      <c r="I499"/>
      <c r="J499"/>
      <c r="K499"/>
      <c r="L499"/>
      <c r="M499"/>
    </row>
    <row r="500" spans="2:13" x14ac:dyDescent="0.25">
      <c r="B500"/>
      <c r="C500"/>
      <c r="D500"/>
      <c r="E500"/>
      <c r="F500"/>
      <c r="G500"/>
      <c r="H500"/>
      <c r="I500"/>
      <c r="J500"/>
      <c r="K500"/>
      <c r="L500"/>
      <c r="M500"/>
    </row>
    <row r="501" spans="2:13" x14ac:dyDescent="0.25">
      <c r="B501"/>
      <c r="C501"/>
      <c r="D501"/>
      <c r="E501"/>
      <c r="F501"/>
      <c r="G501"/>
      <c r="H501"/>
      <c r="I501"/>
      <c r="J501"/>
      <c r="K501"/>
      <c r="L501"/>
      <c r="M501"/>
    </row>
    <row r="502" spans="2:13" x14ac:dyDescent="0.25">
      <c r="B502"/>
      <c r="C502"/>
      <c r="D502"/>
      <c r="E502"/>
      <c r="F502"/>
      <c r="G502"/>
      <c r="H502"/>
      <c r="I502"/>
      <c r="J502"/>
      <c r="K502"/>
      <c r="L502"/>
      <c r="M502"/>
    </row>
    <row r="503" spans="2:13" x14ac:dyDescent="0.25">
      <c r="B503"/>
      <c r="C503"/>
      <c r="D503"/>
      <c r="E503"/>
      <c r="F503"/>
      <c r="G503"/>
      <c r="H503"/>
      <c r="I503"/>
      <c r="J503"/>
      <c r="K503"/>
      <c r="L503"/>
      <c r="M503"/>
    </row>
    <row r="504" spans="2:13" x14ac:dyDescent="0.25">
      <c r="B504"/>
      <c r="C504"/>
      <c r="D504"/>
      <c r="E504"/>
      <c r="F504"/>
      <c r="G504"/>
      <c r="H504"/>
      <c r="I504"/>
      <c r="J504"/>
      <c r="K504"/>
      <c r="L504"/>
      <c r="M504"/>
    </row>
    <row r="505" spans="2:13" x14ac:dyDescent="0.25">
      <c r="B505"/>
      <c r="C505"/>
      <c r="D505"/>
      <c r="E505"/>
      <c r="F505"/>
      <c r="G505"/>
      <c r="H505"/>
      <c r="I505"/>
      <c r="J505"/>
      <c r="K505"/>
      <c r="L505"/>
      <c r="M505"/>
    </row>
    <row r="506" spans="2:13" x14ac:dyDescent="0.25">
      <c r="B506"/>
      <c r="C506"/>
      <c r="D506"/>
      <c r="E506"/>
      <c r="F506"/>
      <c r="G506"/>
      <c r="H506"/>
      <c r="I506"/>
      <c r="J506"/>
      <c r="K506"/>
      <c r="L506"/>
      <c r="M506"/>
    </row>
    <row r="507" spans="2:13" x14ac:dyDescent="0.25">
      <c r="B507"/>
      <c r="C507"/>
      <c r="D507"/>
      <c r="E507"/>
      <c r="F507"/>
      <c r="G507"/>
      <c r="H507"/>
      <c r="I507"/>
      <c r="J507"/>
      <c r="K507"/>
      <c r="L507"/>
      <c r="M507"/>
    </row>
    <row r="508" spans="2:13" x14ac:dyDescent="0.25">
      <c r="B508"/>
      <c r="C508"/>
      <c r="D508"/>
      <c r="E508"/>
      <c r="F508"/>
      <c r="G508"/>
      <c r="H508"/>
      <c r="I508"/>
      <c r="J508"/>
      <c r="K508"/>
      <c r="L508"/>
      <c r="M508"/>
    </row>
    <row r="509" spans="2:13" x14ac:dyDescent="0.25">
      <c r="B509"/>
      <c r="C509"/>
      <c r="D509"/>
      <c r="E509"/>
      <c r="F509"/>
      <c r="G509"/>
      <c r="H509"/>
      <c r="I509"/>
      <c r="J509"/>
      <c r="K509"/>
      <c r="L509"/>
      <c r="M509"/>
    </row>
    <row r="510" spans="2:13" x14ac:dyDescent="0.25">
      <c r="B510"/>
      <c r="C510"/>
      <c r="D510"/>
      <c r="E510"/>
      <c r="F510"/>
      <c r="G510"/>
      <c r="H510"/>
      <c r="I510"/>
      <c r="J510"/>
      <c r="K510"/>
      <c r="L510"/>
      <c r="M510"/>
    </row>
    <row r="511" spans="2:13" x14ac:dyDescent="0.25">
      <c r="B511"/>
      <c r="C511"/>
      <c r="D511"/>
      <c r="E511"/>
      <c r="F511"/>
      <c r="G511"/>
      <c r="H511"/>
      <c r="I511"/>
      <c r="J511"/>
      <c r="K511"/>
      <c r="L511"/>
      <c r="M511"/>
    </row>
    <row r="512" spans="2:13" x14ac:dyDescent="0.25">
      <c r="B512"/>
      <c r="C512"/>
      <c r="D512"/>
      <c r="E512"/>
      <c r="F512"/>
      <c r="G512"/>
      <c r="H512"/>
      <c r="I512"/>
      <c r="J512"/>
      <c r="K512"/>
      <c r="L512"/>
      <c r="M512"/>
    </row>
    <row r="513" spans="2:13" x14ac:dyDescent="0.25">
      <c r="B513"/>
      <c r="C513"/>
      <c r="D513"/>
      <c r="E513"/>
      <c r="F513"/>
      <c r="G513"/>
      <c r="H513"/>
      <c r="I513"/>
      <c r="J513"/>
      <c r="K513"/>
      <c r="L513"/>
      <c r="M513"/>
    </row>
    <row r="514" spans="2:13" x14ac:dyDescent="0.25">
      <c r="B514"/>
      <c r="C514"/>
      <c r="D514"/>
      <c r="E514"/>
      <c r="F514"/>
      <c r="G514"/>
      <c r="H514"/>
      <c r="I514"/>
      <c r="J514"/>
      <c r="K514"/>
      <c r="L514"/>
      <c r="M514"/>
    </row>
    <row r="515" spans="2:13" x14ac:dyDescent="0.25">
      <c r="B515"/>
      <c r="C515"/>
      <c r="D515"/>
      <c r="E515"/>
      <c r="F515"/>
      <c r="G515"/>
      <c r="H515"/>
      <c r="I515"/>
      <c r="J515"/>
      <c r="K515"/>
      <c r="L515"/>
      <c r="M515"/>
    </row>
    <row r="516" spans="2:13" x14ac:dyDescent="0.25">
      <c r="B516"/>
      <c r="C516"/>
      <c r="D516"/>
      <c r="E516"/>
      <c r="F516"/>
      <c r="G516"/>
      <c r="H516"/>
      <c r="I516"/>
      <c r="J516"/>
      <c r="K516"/>
      <c r="L516"/>
      <c r="M516"/>
    </row>
    <row r="517" spans="2:13" x14ac:dyDescent="0.25">
      <c r="B517"/>
      <c r="C517"/>
      <c r="D517"/>
      <c r="E517"/>
      <c r="F517"/>
      <c r="G517"/>
      <c r="H517"/>
      <c r="I517"/>
      <c r="J517"/>
      <c r="K517"/>
      <c r="L517"/>
      <c r="M517"/>
    </row>
    <row r="518" spans="2:13" x14ac:dyDescent="0.25">
      <c r="B518"/>
      <c r="C518"/>
      <c r="D518"/>
      <c r="E518"/>
      <c r="F518"/>
      <c r="G518"/>
      <c r="H518"/>
      <c r="I518"/>
      <c r="J518"/>
      <c r="K518"/>
      <c r="L518"/>
      <c r="M518"/>
    </row>
    <row r="519" spans="2:13" x14ac:dyDescent="0.25">
      <c r="B519"/>
      <c r="C519"/>
      <c r="D519"/>
      <c r="E519"/>
      <c r="F519"/>
      <c r="G519"/>
      <c r="H519"/>
      <c r="I519"/>
      <c r="J519"/>
      <c r="K519"/>
      <c r="L519"/>
      <c r="M519"/>
    </row>
    <row r="520" spans="2:13" x14ac:dyDescent="0.25">
      <c r="B520"/>
      <c r="C520"/>
      <c r="D520"/>
      <c r="E520"/>
      <c r="F520"/>
      <c r="G520"/>
      <c r="H520"/>
      <c r="I520"/>
      <c r="J520"/>
      <c r="K520"/>
      <c r="L520"/>
      <c r="M520"/>
    </row>
    <row r="521" spans="2:13" x14ac:dyDescent="0.25">
      <c r="B521"/>
      <c r="C521"/>
      <c r="D521"/>
      <c r="E521"/>
      <c r="F521"/>
      <c r="G521"/>
      <c r="H521"/>
      <c r="I521"/>
      <c r="J521"/>
      <c r="K521"/>
      <c r="L521"/>
      <c r="M521"/>
    </row>
    <row r="522" spans="2:13" x14ac:dyDescent="0.25">
      <c r="B522"/>
      <c r="C522"/>
      <c r="D522"/>
      <c r="E522"/>
      <c r="F522"/>
      <c r="G522"/>
      <c r="H522"/>
      <c r="I522"/>
      <c r="J522"/>
      <c r="K522"/>
      <c r="L522"/>
      <c r="M522"/>
    </row>
    <row r="523" spans="2:13" x14ac:dyDescent="0.25">
      <c r="B523"/>
      <c r="C523"/>
      <c r="D523"/>
      <c r="E523"/>
      <c r="F523"/>
      <c r="G523"/>
      <c r="H523"/>
      <c r="I523"/>
      <c r="J523"/>
      <c r="K523"/>
      <c r="L523"/>
      <c r="M523"/>
    </row>
    <row r="524" spans="2:13" x14ac:dyDescent="0.25">
      <c r="B524"/>
      <c r="C524"/>
      <c r="D524"/>
      <c r="E524"/>
      <c r="F524"/>
      <c r="G524"/>
      <c r="H524"/>
      <c r="I524"/>
      <c r="J524"/>
      <c r="K524"/>
      <c r="L524"/>
      <c r="M524"/>
    </row>
    <row r="525" spans="2:13" x14ac:dyDescent="0.25">
      <c r="B525"/>
      <c r="C525"/>
      <c r="D525"/>
      <c r="E525"/>
      <c r="F525"/>
      <c r="G525"/>
      <c r="H525"/>
      <c r="I525"/>
      <c r="J525"/>
      <c r="K525"/>
      <c r="L525"/>
      <c r="M525"/>
    </row>
    <row r="526" spans="2:13" x14ac:dyDescent="0.25">
      <c r="B526"/>
      <c r="C526"/>
      <c r="D526"/>
      <c r="E526"/>
      <c r="F526"/>
      <c r="G526"/>
      <c r="H526"/>
      <c r="I526"/>
      <c r="J526"/>
      <c r="K526"/>
      <c r="L526"/>
      <c r="M526"/>
    </row>
    <row r="527" spans="2:13" x14ac:dyDescent="0.25">
      <c r="B527"/>
      <c r="C527"/>
      <c r="D527"/>
      <c r="E527"/>
      <c r="F527"/>
      <c r="G527"/>
      <c r="H527"/>
      <c r="I527"/>
      <c r="J527"/>
      <c r="K527"/>
      <c r="L527"/>
      <c r="M527"/>
    </row>
    <row r="528" spans="2:13" x14ac:dyDescent="0.25">
      <c r="B528"/>
      <c r="C528"/>
      <c r="D528"/>
      <c r="E528"/>
      <c r="F528"/>
      <c r="G528"/>
      <c r="H528"/>
      <c r="I528"/>
      <c r="J528"/>
      <c r="K528"/>
      <c r="L528"/>
      <c r="M528"/>
    </row>
    <row r="529" spans="2:13" x14ac:dyDescent="0.25">
      <c r="B529"/>
      <c r="C529"/>
      <c r="D529"/>
      <c r="E529"/>
      <c r="F529"/>
      <c r="G529"/>
      <c r="H529"/>
      <c r="I529"/>
      <c r="J529"/>
      <c r="K529"/>
      <c r="L529"/>
      <c r="M529"/>
    </row>
    <row r="530" spans="2:13" x14ac:dyDescent="0.25">
      <c r="B530"/>
      <c r="C530"/>
      <c r="D530"/>
      <c r="E530"/>
      <c r="F530"/>
      <c r="G530"/>
      <c r="H530"/>
      <c r="I530"/>
      <c r="J530"/>
      <c r="K530"/>
      <c r="L530"/>
      <c r="M530"/>
    </row>
    <row r="531" spans="2:13" x14ac:dyDescent="0.25">
      <c r="B531"/>
      <c r="C531"/>
      <c r="D531"/>
      <c r="E531"/>
      <c r="F531"/>
      <c r="G531"/>
      <c r="H531"/>
      <c r="I531"/>
      <c r="J531"/>
      <c r="K531"/>
      <c r="L531"/>
      <c r="M531"/>
    </row>
    <row r="532" spans="2:13" x14ac:dyDescent="0.25">
      <c r="B532"/>
      <c r="C532"/>
      <c r="D532"/>
      <c r="E532"/>
      <c r="F532"/>
      <c r="G532"/>
      <c r="H532"/>
      <c r="I532"/>
      <c r="J532"/>
      <c r="K532"/>
      <c r="L532"/>
      <c r="M532"/>
    </row>
    <row r="533" spans="2:13" x14ac:dyDescent="0.25">
      <c r="B533"/>
      <c r="C533"/>
      <c r="D533"/>
      <c r="E533"/>
      <c r="F533"/>
      <c r="G533"/>
      <c r="H533"/>
      <c r="I533"/>
      <c r="J533"/>
      <c r="K533"/>
      <c r="L533"/>
      <c r="M533"/>
    </row>
    <row r="534" spans="2:13" x14ac:dyDescent="0.25">
      <c r="B534"/>
      <c r="C534"/>
      <c r="D534"/>
      <c r="E534"/>
      <c r="F534"/>
      <c r="G534"/>
      <c r="H534"/>
      <c r="I534"/>
      <c r="J534"/>
      <c r="K534"/>
      <c r="L534"/>
      <c r="M534"/>
    </row>
    <row r="535" spans="2:13" x14ac:dyDescent="0.25">
      <c r="B535"/>
      <c r="C535"/>
      <c r="D535"/>
      <c r="E535"/>
      <c r="F535"/>
      <c r="G535"/>
      <c r="H535"/>
      <c r="I535"/>
      <c r="J535"/>
      <c r="K535"/>
      <c r="L535"/>
      <c r="M535"/>
    </row>
    <row r="536" spans="2:13" x14ac:dyDescent="0.25">
      <c r="B536"/>
      <c r="C536"/>
      <c r="D536"/>
      <c r="E536"/>
      <c r="F536"/>
      <c r="G536"/>
      <c r="H536"/>
      <c r="I536"/>
      <c r="J536"/>
      <c r="K536"/>
      <c r="L536"/>
      <c r="M536"/>
    </row>
    <row r="537" spans="2:13" x14ac:dyDescent="0.25">
      <c r="B537"/>
      <c r="C537"/>
      <c r="D537"/>
      <c r="E537"/>
      <c r="F537"/>
      <c r="G537"/>
      <c r="H537"/>
      <c r="I537"/>
      <c r="J537"/>
      <c r="K537"/>
      <c r="L537"/>
      <c r="M537"/>
    </row>
    <row r="538" spans="2:13" x14ac:dyDescent="0.25">
      <c r="B538"/>
      <c r="C538"/>
      <c r="D538"/>
      <c r="E538"/>
      <c r="F538"/>
      <c r="G538"/>
      <c r="H538"/>
      <c r="I538"/>
      <c r="J538"/>
      <c r="K538"/>
      <c r="L538"/>
      <c r="M538"/>
    </row>
    <row r="539" spans="2:13" x14ac:dyDescent="0.25">
      <c r="B539"/>
      <c r="C539"/>
      <c r="D539"/>
      <c r="E539"/>
      <c r="F539"/>
      <c r="G539"/>
      <c r="H539"/>
      <c r="I539"/>
      <c r="J539"/>
      <c r="K539"/>
      <c r="L539"/>
      <c r="M539"/>
    </row>
    <row r="540" spans="2:13" x14ac:dyDescent="0.25">
      <c r="B540"/>
      <c r="C540"/>
      <c r="D540"/>
      <c r="E540"/>
      <c r="F540"/>
      <c r="G540"/>
      <c r="H540"/>
      <c r="I540"/>
      <c r="J540"/>
      <c r="K540"/>
      <c r="L540"/>
      <c r="M540"/>
    </row>
    <row r="541" spans="2:13" x14ac:dyDescent="0.25">
      <c r="B541"/>
      <c r="C541"/>
      <c r="D541"/>
      <c r="E541"/>
      <c r="F541"/>
      <c r="G541"/>
      <c r="H541"/>
      <c r="I541"/>
      <c r="J541"/>
      <c r="K541"/>
      <c r="L541"/>
      <c r="M541"/>
    </row>
    <row r="542" spans="2:13" x14ac:dyDescent="0.25">
      <c r="B542"/>
      <c r="C542"/>
      <c r="D542"/>
      <c r="E542"/>
      <c r="F542"/>
      <c r="G542"/>
      <c r="H542"/>
      <c r="I542"/>
      <c r="J542"/>
      <c r="K542"/>
      <c r="L542"/>
      <c r="M542"/>
    </row>
    <row r="543" spans="2:13" x14ac:dyDescent="0.25">
      <c r="B543"/>
      <c r="C543"/>
      <c r="D543"/>
      <c r="E543"/>
      <c r="F543"/>
      <c r="G543"/>
      <c r="H543"/>
      <c r="I543"/>
      <c r="J543"/>
      <c r="K543"/>
      <c r="L543"/>
      <c r="M543"/>
    </row>
    <row r="544" spans="2:13" x14ac:dyDescent="0.25">
      <c r="B544"/>
      <c r="C544"/>
      <c r="D544"/>
      <c r="E544"/>
      <c r="F544"/>
      <c r="G544"/>
      <c r="H544"/>
      <c r="I544"/>
      <c r="J544"/>
      <c r="K544"/>
      <c r="L544"/>
      <c r="M544"/>
    </row>
    <row r="545" spans="2:13" x14ac:dyDescent="0.25">
      <c r="B545"/>
      <c r="C545"/>
      <c r="D545"/>
      <c r="E545"/>
      <c r="F545"/>
      <c r="G545"/>
      <c r="H545"/>
      <c r="I545"/>
      <c r="J545"/>
      <c r="K545"/>
      <c r="L545"/>
      <c r="M545"/>
    </row>
    <row r="546" spans="2:13" x14ac:dyDescent="0.25">
      <c r="B546"/>
      <c r="C546"/>
      <c r="D546"/>
      <c r="E546"/>
      <c r="F546"/>
      <c r="G546"/>
      <c r="H546"/>
      <c r="I546"/>
      <c r="J546"/>
      <c r="K546"/>
      <c r="L546"/>
      <c r="M546"/>
    </row>
    <row r="547" spans="2:13" x14ac:dyDescent="0.25">
      <c r="B547"/>
      <c r="C547"/>
      <c r="D547"/>
      <c r="E547"/>
      <c r="F547"/>
      <c r="G547"/>
      <c r="H547"/>
      <c r="I547"/>
      <c r="J547"/>
      <c r="K547"/>
      <c r="L547"/>
      <c r="M547"/>
    </row>
    <row r="548" spans="2:13" x14ac:dyDescent="0.25">
      <c r="B548"/>
      <c r="C548"/>
      <c r="D548"/>
      <c r="E548"/>
      <c r="F548"/>
      <c r="G548"/>
      <c r="H548"/>
      <c r="I548"/>
      <c r="J548"/>
      <c r="K548"/>
      <c r="L548"/>
      <c r="M548"/>
    </row>
    <row r="549" spans="2:13" x14ac:dyDescent="0.25">
      <c r="B549"/>
      <c r="C549"/>
      <c r="D549"/>
      <c r="E549"/>
      <c r="F549"/>
      <c r="G549"/>
      <c r="H549"/>
      <c r="I549"/>
      <c r="J549"/>
      <c r="K549"/>
      <c r="L549"/>
      <c r="M549"/>
    </row>
    <row r="550" spans="2:13" x14ac:dyDescent="0.25">
      <c r="B550"/>
      <c r="C550"/>
      <c r="D550"/>
      <c r="E550"/>
      <c r="F550"/>
      <c r="G550"/>
      <c r="H550"/>
      <c r="I550"/>
      <c r="J550"/>
      <c r="K550"/>
      <c r="L550"/>
      <c r="M550"/>
    </row>
    <row r="551" spans="2:13" x14ac:dyDescent="0.25">
      <c r="B551"/>
      <c r="C551"/>
      <c r="D551"/>
      <c r="E551"/>
      <c r="F551"/>
      <c r="G551"/>
      <c r="H551"/>
      <c r="I551"/>
      <c r="J551"/>
      <c r="K551"/>
      <c r="L551"/>
      <c r="M551"/>
    </row>
    <row r="552" spans="2:13" x14ac:dyDescent="0.25">
      <c r="B552"/>
      <c r="C552"/>
      <c r="D552"/>
      <c r="E552"/>
      <c r="F552"/>
      <c r="G552"/>
      <c r="H552"/>
      <c r="I552"/>
      <c r="J552"/>
      <c r="K552"/>
      <c r="L552"/>
      <c r="M552"/>
    </row>
    <row r="553" spans="2:13" x14ac:dyDescent="0.25">
      <c r="B553"/>
      <c r="C553"/>
      <c r="D553"/>
      <c r="E553"/>
      <c r="F553"/>
      <c r="G553"/>
      <c r="H553"/>
      <c r="I553"/>
      <c r="J553"/>
      <c r="K553"/>
      <c r="L553"/>
      <c r="M553"/>
    </row>
    <row r="554" spans="2:13" x14ac:dyDescent="0.25">
      <c r="B554"/>
      <c r="C554"/>
      <c r="D554"/>
      <c r="E554"/>
      <c r="F554"/>
      <c r="G554"/>
      <c r="H554"/>
      <c r="I554"/>
      <c r="J554"/>
      <c r="K554"/>
      <c r="L554"/>
      <c r="M554"/>
    </row>
    <row r="555" spans="2:13" x14ac:dyDescent="0.25">
      <c r="B555"/>
      <c r="C555"/>
      <c r="D555"/>
      <c r="E555"/>
      <c r="F555"/>
      <c r="G555"/>
      <c r="H555"/>
      <c r="I555"/>
      <c r="J555"/>
      <c r="K555"/>
      <c r="L555"/>
      <c r="M555"/>
    </row>
    <row r="556" spans="2:13" x14ac:dyDescent="0.25">
      <c r="B556"/>
      <c r="C556"/>
      <c r="D556"/>
      <c r="E556"/>
      <c r="F556"/>
      <c r="G556"/>
      <c r="H556"/>
      <c r="I556"/>
      <c r="J556"/>
      <c r="K556"/>
      <c r="L556"/>
      <c r="M556"/>
    </row>
    <row r="557" spans="2:13" x14ac:dyDescent="0.25">
      <c r="B557"/>
      <c r="C557"/>
      <c r="D557"/>
      <c r="E557"/>
      <c r="F557"/>
      <c r="G557"/>
      <c r="H557"/>
      <c r="I557"/>
      <c r="J557"/>
      <c r="K557"/>
      <c r="L557"/>
      <c r="M557"/>
    </row>
    <row r="558" spans="2:13" x14ac:dyDescent="0.25">
      <c r="B558"/>
      <c r="C558"/>
      <c r="D558"/>
      <c r="E558"/>
      <c r="F558"/>
      <c r="G558"/>
      <c r="H558"/>
      <c r="I558"/>
      <c r="J558"/>
      <c r="K558"/>
      <c r="L558"/>
      <c r="M558"/>
    </row>
    <row r="559" spans="2:13" x14ac:dyDescent="0.25">
      <c r="B559"/>
      <c r="C559"/>
      <c r="D559"/>
      <c r="E559"/>
      <c r="F559"/>
      <c r="G559"/>
      <c r="H559"/>
      <c r="I559"/>
      <c r="J559"/>
      <c r="K559"/>
      <c r="L559"/>
      <c r="M559"/>
    </row>
    <row r="560" spans="2:13" x14ac:dyDescent="0.25">
      <c r="B560"/>
      <c r="C560"/>
      <c r="D560"/>
      <c r="E560"/>
      <c r="F560"/>
      <c r="G560"/>
      <c r="H560"/>
      <c r="I560"/>
      <c r="J560"/>
      <c r="K560"/>
      <c r="L560"/>
      <c r="M560"/>
    </row>
    <row r="561" spans="2:13" x14ac:dyDescent="0.25">
      <c r="B561"/>
      <c r="C561"/>
      <c r="D561"/>
      <c r="E561"/>
      <c r="F561"/>
      <c r="G561"/>
      <c r="H561"/>
      <c r="I561"/>
      <c r="J561"/>
      <c r="K561"/>
      <c r="L561"/>
      <c r="M561"/>
    </row>
    <row r="562" spans="2:13" x14ac:dyDescent="0.25">
      <c r="B562"/>
      <c r="C562"/>
      <c r="D562"/>
      <c r="E562"/>
      <c r="F562"/>
      <c r="G562"/>
      <c r="H562"/>
      <c r="I562"/>
      <c r="J562"/>
      <c r="K562"/>
      <c r="L562"/>
      <c r="M562"/>
    </row>
    <row r="563" spans="2:13" x14ac:dyDescent="0.25">
      <c r="B563"/>
      <c r="C563"/>
      <c r="D563"/>
      <c r="E563"/>
      <c r="F563"/>
      <c r="G563"/>
      <c r="H563"/>
      <c r="I563"/>
      <c r="J563"/>
      <c r="K563"/>
      <c r="L563"/>
      <c r="M563"/>
    </row>
    <row r="564" spans="2:13" x14ac:dyDescent="0.25">
      <c r="B564"/>
      <c r="C564"/>
      <c r="D564"/>
      <c r="E564"/>
      <c r="F564"/>
      <c r="G564"/>
      <c r="H564"/>
      <c r="I564"/>
      <c r="J564"/>
      <c r="K564"/>
      <c r="L564"/>
      <c r="M564"/>
    </row>
    <row r="565" spans="2:13" x14ac:dyDescent="0.25">
      <c r="B565"/>
      <c r="C565"/>
      <c r="D565"/>
      <c r="E565"/>
      <c r="F565"/>
      <c r="G565"/>
      <c r="H565"/>
      <c r="I565"/>
      <c r="J565"/>
      <c r="K565"/>
      <c r="L565"/>
      <c r="M565"/>
    </row>
    <row r="566" spans="2:13" x14ac:dyDescent="0.25">
      <c r="B566"/>
      <c r="C566"/>
      <c r="D566"/>
      <c r="E566"/>
      <c r="F566"/>
      <c r="G566"/>
      <c r="H566"/>
      <c r="I566"/>
      <c r="J566"/>
      <c r="K566"/>
      <c r="L566"/>
      <c r="M566"/>
    </row>
    <row r="567" spans="2:13" x14ac:dyDescent="0.25">
      <c r="B567"/>
      <c r="C567"/>
      <c r="D567"/>
      <c r="E567"/>
      <c r="F567"/>
      <c r="G567"/>
      <c r="H567"/>
      <c r="I567"/>
      <c r="J567"/>
      <c r="K567"/>
      <c r="L567"/>
      <c r="M567"/>
    </row>
    <row r="568" spans="2:13" x14ac:dyDescent="0.25">
      <c r="B568"/>
      <c r="C568"/>
      <c r="D568"/>
      <c r="E568"/>
      <c r="F568"/>
      <c r="G568"/>
      <c r="H568"/>
      <c r="I568"/>
      <c r="J568"/>
      <c r="K568"/>
      <c r="L568"/>
      <c r="M568"/>
    </row>
    <row r="569" spans="2:13" x14ac:dyDescent="0.25">
      <c r="B569"/>
      <c r="C569"/>
      <c r="D569"/>
      <c r="E569"/>
      <c r="F569"/>
      <c r="G569"/>
      <c r="H569"/>
      <c r="I569"/>
      <c r="J569"/>
      <c r="K569"/>
      <c r="L569"/>
      <c r="M569"/>
    </row>
    <row r="570" spans="2:13" x14ac:dyDescent="0.25">
      <c r="B570"/>
      <c r="C570"/>
      <c r="D570"/>
      <c r="E570"/>
      <c r="F570"/>
      <c r="G570"/>
      <c r="H570"/>
      <c r="I570"/>
      <c r="J570"/>
      <c r="K570"/>
      <c r="L570"/>
      <c r="M570"/>
    </row>
    <row r="571" spans="2:13" x14ac:dyDescent="0.25">
      <c r="B571"/>
      <c r="C571"/>
      <c r="D571"/>
      <c r="E571"/>
      <c r="F571"/>
      <c r="G571"/>
      <c r="H571"/>
      <c r="I571"/>
      <c r="J571"/>
      <c r="K571"/>
      <c r="L571"/>
      <c r="M571"/>
    </row>
    <row r="572" spans="2:13" x14ac:dyDescent="0.25">
      <c r="B572"/>
      <c r="C572"/>
      <c r="D572"/>
      <c r="E572"/>
      <c r="F572"/>
      <c r="G572"/>
      <c r="H572"/>
      <c r="I572"/>
      <c r="J572"/>
      <c r="K572"/>
      <c r="L572"/>
      <c r="M572"/>
    </row>
    <row r="573" spans="2:13" x14ac:dyDescent="0.25">
      <c r="B573"/>
      <c r="C573"/>
      <c r="D573"/>
      <c r="E573"/>
      <c r="F573"/>
      <c r="G573"/>
      <c r="H573"/>
      <c r="I573"/>
      <c r="J573"/>
      <c r="K573"/>
      <c r="L573"/>
      <c r="M573"/>
    </row>
    <row r="574" spans="2:13" x14ac:dyDescent="0.25">
      <c r="B574"/>
      <c r="C574"/>
      <c r="D574"/>
      <c r="E574"/>
      <c r="F574"/>
      <c r="G574"/>
      <c r="H574"/>
      <c r="I574"/>
      <c r="J574"/>
      <c r="K574"/>
      <c r="L574"/>
      <c r="M574"/>
    </row>
    <row r="575" spans="2:13" x14ac:dyDescent="0.25">
      <c r="B575"/>
      <c r="C575"/>
      <c r="D575"/>
      <c r="E575"/>
      <c r="F575"/>
      <c r="G575"/>
      <c r="H575"/>
      <c r="I575"/>
      <c r="J575"/>
      <c r="K575"/>
      <c r="L575"/>
      <c r="M575"/>
    </row>
    <row r="576" spans="2:13" x14ac:dyDescent="0.25">
      <c r="B576"/>
      <c r="C576"/>
      <c r="D576"/>
      <c r="E576"/>
      <c r="F576"/>
      <c r="G576"/>
      <c r="H576"/>
      <c r="I576"/>
      <c r="J576"/>
      <c r="K576"/>
      <c r="L576"/>
      <c r="M576"/>
    </row>
    <row r="577" spans="2:13" x14ac:dyDescent="0.25">
      <c r="B577"/>
      <c r="C577"/>
      <c r="D577"/>
      <c r="E577"/>
      <c r="F577"/>
      <c r="G577"/>
      <c r="H577"/>
      <c r="I577"/>
      <c r="J577"/>
      <c r="K577"/>
      <c r="L577"/>
      <c r="M577"/>
    </row>
    <row r="578" spans="2:13" x14ac:dyDescent="0.25">
      <c r="B578"/>
      <c r="C578"/>
      <c r="D578"/>
      <c r="E578"/>
      <c r="F578"/>
      <c r="G578"/>
      <c r="H578"/>
      <c r="I578"/>
      <c r="J578"/>
      <c r="K578"/>
      <c r="L578"/>
      <c r="M578"/>
    </row>
    <row r="579" spans="2:13" x14ac:dyDescent="0.25">
      <c r="B579"/>
      <c r="C579"/>
      <c r="D579"/>
      <c r="E579"/>
      <c r="F579"/>
      <c r="G579"/>
      <c r="H579"/>
      <c r="I579"/>
      <c r="J579"/>
      <c r="K579"/>
      <c r="L579"/>
      <c r="M579"/>
    </row>
    <row r="580" spans="2:13" x14ac:dyDescent="0.25">
      <c r="B580"/>
      <c r="C580"/>
      <c r="D580"/>
      <c r="E580"/>
      <c r="F580"/>
      <c r="G580"/>
      <c r="H580"/>
      <c r="I580"/>
      <c r="J580"/>
      <c r="K580"/>
      <c r="L580"/>
      <c r="M580"/>
    </row>
    <row r="581" spans="2:13" x14ac:dyDescent="0.25">
      <c r="B581"/>
      <c r="C581"/>
      <c r="D581"/>
      <c r="E581"/>
      <c r="F581"/>
      <c r="G581"/>
      <c r="H581"/>
      <c r="I581"/>
      <c r="J581"/>
      <c r="K581"/>
      <c r="L581"/>
      <c r="M581"/>
    </row>
    <row r="582" spans="2:13" x14ac:dyDescent="0.25">
      <c r="B582"/>
      <c r="C582"/>
      <c r="D582"/>
      <c r="E582"/>
      <c r="F582"/>
      <c r="G582"/>
      <c r="H582"/>
      <c r="I582"/>
      <c r="J582"/>
      <c r="K582"/>
      <c r="L582"/>
      <c r="M582"/>
    </row>
    <row r="583" spans="2:13" x14ac:dyDescent="0.25">
      <c r="B583"/>
      <c r="C583"/>
      <c r="D583"/>
      <c r="E583"/>
      <c r="F583"/>
      <c r="G583"/>
      <c r="H583"/>
      <c r="I583"/>
      <c r="J583"/>
      <c r="K583"/>
      <c r="L583"/>
      <c r="M583"/>
    </row>
    <row r="584" spans="2:13" x14ac:dyDescent="0.25">
      <c r="B584"/>
      <c r="C584"/>
      <c r="D584"/>
      <c r="E584"/>
      <c r="F584"/>
      <c r="G584"/>
      <c r="H584"/>
      <c r="I584"/>
      <c r="J584"/>
      <c r="K584"/>
      <c r="L584"/>
      <c r="M584"/>
    </row>
    <row r="585" spans="2:13" x14ac:dyDescent="0.25">
      <c r="B585"/>
      <c r="C585"/>
      <c r="D585"/>
      <c r="E585"/>
      <c r="F585"/>
      <c r="G585"/>
      <c r="H585"/>
      <c r="I585"/>
      <c r="J585"/>
      <c r="K585"/>
      <c r="L585"/>
      <c r="M585"/>
    </row>
    <row r="586" spans="2:13" x14ac:dyDescent="0.25">
      <c r="B586"/>
      <c r="C586"/>
      <c r="D586"/>
      <c r="E586"/>
      <c r="F586"/>
      <c r="G586"/>
      <c r="H586"/>
      <c r="I586"/>
      <c r="J586"/>
      <c r="K586"/>
      <c r="L586"/>
      <c r="M586"/>
    </row>
    <row r="587" spans="2:13" x14ac:dyDescent="0.25">
      <c r="B587"/>
      <c r="C587"/>
      <c r="D587"/>
      <c r="E587"/>
      <c r="F587"/>
      <c r="G587"/>
      <c r="H587"/>
      <c r="I587"/>
      <c r="J587"/>
      <c r="K587"/>
      <c r="L587"/>
      <c r="M587"/>
    </row>
    <row r="588" spans="2:13" x14ac:dyDescent="0.25">
      <c r="B588"/>
      <c r="C588"/>
      <c r="D588"/>
      <c r="E588"/>
      <c r="F588"/>
      <c r="G588"/>
      <c r="H588"/>
      <c r="I588"/>
      <c r="J588"/>
      <c r="K588"/>
      <c r="L588"/>
      <c r="M588"/>
    </row>
    <row r="589" spans="2:13" x14ac:dyDescent="0.25">
      <c r="B589"/>
      <c r="C589"/>
      <c r="D589"/>
      <c r="E589"/>
      <c r="F589"/>
      <c r="G589"/>
      <c r="H589"/>
      <c r="I589"/>
      <c r="J589"/>
      <c r="K589"/>
      <c r="L589"/>
      <c r="M589"/>
    </row>
    <row r="590" spans="2:13" x14ac:dyDescent="0.25">
      <c r="B590"/>
      <c r="C590"/>
      <c r="D590"/>
      <c r="E590"/>
      <c r="F590"/>
      <c r="G590"/>
      <c r="H590"/>
      <c r="I590"/>
      <c r="J590"/>
      <c r="K590"/>
      <c r="L590"/>
      <c r="M590"/>
    </row>
    <row r="591" spans="2:13" x14ac:dyDescent="0.25">
      <c r="B591"/>
      <c r="C591"/>
      <c r="D591"/>
      <c r="E591"/>
      <c r="F591"/>
      <c r="G591"/>
      <c r="H591"/>
      <c r="I591"/>
      <c r="J591"/>
      <c r="K591"/>
      <c r="L591"/>
      <c r="M591"/>
    </row>
    <row r="592" spans="2:13" x14ac:dyDescent="0.25">
      <c r="B592"/>
      <c r="C592"/>
      <c r="D592"/>
      <c r="E592"/>
      <c r="F592"/>
      <c r="G592"/>
      <c r="H592"/>
      <c r="I592"/>
      <c r="J592"/>
      <c r="K592"/>
      <c r="L592"/>
      <c r="M592"/>
    </row>
    <row r="593" spans="2:13" x14ac:dyDescent="0.25">
      <c r="B593"/>
      <c r="C593"/>
      <c r="D593"/>
      <c r="E593"/>
      <c r="F593"/>
      <c r="G593"/>
      <c r="H593"/>
      <c r="I593"/>
      <c r="J593"/>
      <c r="K593"/>
      <c r="L593"/>
      <c r="M593"/>
    </row>
    <row r="594" spans="2:13" x14ac:dyDescent="0.25">
      <c r="B594"/>
      <c r="C594"/>
      <c r="D594"/>
      <c r="E594"/>
      <c r="F594"/>
      <c r="G594"/>
      <c r="H594"/>
      <c r="I594"/>
      <c r="J594"/>
      <c r="K594"/>
      <c r="L594"/>
      <c r="M594"/>
    </row>
    <row r="595" spans="2:13" x14ac:dyDescent="0.25">
      <c r="B595"/>
      <c r="C595"/>
      <c r="D595"/>
      <c r="E595"/>
      <c r="F595"/>
      <c r="G595"/>
      <c r="H595"/>
      <c r="I595"/>
      <c r="J595"/>
      <c r="K595"/>
      <c r="L595"/>
      <c r="M595"/>
    </row>
    <row r="596" spans="2:13" x14ac:dyDescent="0.25">
      <c r="B596"/>
      <c r="C596"/>
      <c r="D596"/>
      <c r="E596"/>
      <c r="F596"/>
      <c r="G596"/>
      <c r="H596"/>
      <c r="I596"/>
      <c r="J596"/>
      <c r="K596"/>
      <c r="L596"/>
      <c r="M596"/>
    </row>
    <row r="597" spans="2:13" x14ac:dyDescent="0.25">
      <c r="B597"/>
      <c r="C597"/>
      <c r="D597"/>
      <c r="E597"/>
      <c r="F597"/>
      <c r="G597"/>
      <c r="H597"/>
      <c r="I597"/>
      <c r="J597"/>
      <c r="K597"/>
      <c r="L597"/>
      <c r="M597"/>
    </row>
    <row r="598" spans="2:13" x14ac:dyDescent="0.25">
      <c r="B598"/>
      <c r="C598"/>
      <c r="D598"/>
      <c r="E598"/>
      <c r="F598"/>
      <c r="G598"/>
      <c r="H598"/>
      <c r="I598"/>
      <c r="J598"/>
      <c r="K598"/>
      <c r="L598"/>
      <c r="M598"/>
    </row>
    <row r="599" spans="2:13" x14ac:dyDescent="0.25">
      <c r="B599"/>
      <c r="C599"/>
      <c r="D599"/>
      <c r="E599"/>
      <c r="F599"/>
      <c r="G599"/>
      <c r="H599"/>
      <c r="I599"/>
      <c r="J599"/>
      <c r="K599"/>
      <c r="L599"/>
      <c r="M599"/>
    </row>
    <row r="600" spans="2:13" x14ac:dyDescent="0.25">
      <c r="B600"/>
      <c r="C600"/>
      <c r="D600"/>
      <c r="E600"/>
      <c r="F600"/>
      <c r="G600"/>
      <c r="H600"/>
      <c r="I600"/>
      <c r="J600"/>
      <c r="K600"/>
      <c r="L600"/>
      <c r="M600"/>
    </row>
    <row r="601" spans="2:13" x14ac:dyDescent="0.25">
      <c r="B601"/>
      <c r="C601"/>
      <c r="D601"/>
      <c r="E601"/>
      <c r="F601"/>
      <c r="G601"/>
      <c r="H601"/>
      <c r="I601"/>
      <c r="J601"/>
      <c r="K601"/>
      <c r="L601"/>
      <c r="M601"/>
    </row>
    <row r="602" spans="2:13" x14ac:dyDescent="0.25">
      <c r="B602"/>
      <c r="C602"/>
      <c r="D602"/>
      <c r="E602"/>
      <c r="F602"/>
      <c r="G602"/>
      <c r="H602"/>
      <c r="I602"/>
      <c r="J602"/>
      <c r="K602"/>
      <c r="L602"/>
      <c r="M602"/>
    </row>
    <row r="603" spans="2:13" x14ac:dyDescent="0.25">
      <c r="B603"/>
      <c r="C603"/>
      <c r="D603"/>
      <c r="E603"/>
      <c r="F603"/>
      <c r="G603"/>
      <c r="H603"/>
      <c r="I603"/>
      <c r="J603"/>
      <c r="K603"/>
      <c r="L603"/>
      <c r="M603"/>
    </row>
    <row r="604" spans="2:13" x14ac:dyDescent="0.25">
      <c r="B604"/>
      <c r="C604"/>
      <c r="D604"/>
      <c r="E604"/>
      <c r="F604"/>
      <c r="G604"/>
      <c r="H604"/>
      <c r="I604"/>
      <c r="J604"/>
      <c r="K604"/>
      <c r="L604"/>
      <c r="M604"/>
    </row>
    <row r="605" spans="2:13" x14ac:dyDescent="0.25">
      <c r="B605"/>
      <c r="C605"/>
      <c r="D605"/>
      <c r="E605"/>
      <c r="F605"/>
      <c r="G605"/>
      <c r="H605"/>
      <c r="I605"/>
      <c r="J605"/>
      <c r="K605"/>
      <c r="L605"/>
      <c r="M605"/>
    </row>
    <row r="606" spans="2:13" x14ac:dyDescent="0.25">
      <c r="B606"/>
      <c r="C606"/>
      <c r="D606"/>
      <c r="E606"/>
      <c r="F606"/>
      <c r="G606"/>
      <c r="H606"/>
      <c r="I606"/>
      <c r="J606"/>
      <c r="K606"/>
      <c r="L606"/>
      <c r="M606"/>
    </row>
    <row r="607" spans="2:13" x14ac:dyDescent="0.25">
      <c r="B607"/>
      <c r="C607"/>
      <c r="D607"/>
      <c r="E607"/>
      <c r="F607"/>
      <c r="G607"/>
      <c r="H607"/>
      <c r="I607"/>
      <c r="J607"/>
      <c r="K607"/>
      <c r="L607"/>
      <c r="M607"/>
    </row>
    <row r="608" spans="2:13" x14ac:dyDescent="0.25">
      <c r="B608"/>
      <c r="C608"/>
      <c r="D608"/>
      <c r="E608"/>
      <c r="F608"/>
      <c r="G608"/>
      <c r="H608"/>
      <c r="I608"/>
      <c r="J608"/>
      <c r="K608"/>
      <c r="L608"/>
      <c r="M608"/>
    </row>
    <row r="609" spans="2:13" x14ac:dyDescent="0.25">
      <c r="B609"/>
      <c r="C609"/>
      <c r="D609"/>
      <c r="E609"/>
      <c r="F609"/>
      <c r="G609"/>
      <c r="H609"/>
      <c r="I609"/>
      <c r="J609"/>
      <c r="K609"/>
      <c r="L609"/>
      <c r="M609"/>
    </row>
    <row r="610" spans="2:13" x14ac:dyDescent="0.25">
      <c r="B610"/>
      <c r="C610"/>
      <c r="D610"/>
      <c r="E610"/>
      <c r="F610"/>
      <c r="G610"/>
      <c r="H610"/>
      <c r="I610"/>
      <c r="J610"/>
      <c r="K610"/>
      <c r="L610"/>
      <c r="M610"/>
    </row>
    <row r="611" spans="2:13" x14ac:dyDescent="0.25">
      <c r="B611"/>
      <c r="C611"/>
      <c r="D611"/>
      <c r="E611"/>
      <c r="F611"/>
      <c r="G611"/>
      <c r="H611"/>
      <c r="I611"/>
      <c r="J611"/>
      <c r="K611"/>
      <c r="L611"/>
      <c r="M611"/>
    </row>
    <row r="612" spans="2:13" x14ac:dyDescent="0.25">
      <c r="B612"/>
      <c r="C612"/>
      <c r="D612"/>
      <c r="E612"/>
      <c r="F612"/>
      <c r="G612"/>
      <c r="H612"/>
      <c r="I612"/>
      <c r="J612"/>
      <c r="K612"/>
      <c r="L612"/>
      <c r="M612"/>
    </row>
    <row r="613" spans="2:13" x14ac:dyDescent="0.25">
      <c r="B613"/>
      <c r="C613"/>
      <c r="D613"/>
      <c r="E613"/>
      <c r="F613"/>
      <c r="G613"/>
      <c r="H613"/>
      <c r="I613"/>
      <c r="J613"/>
      <c r="K613"/>
      <c r="L613"/>
      <c r="M613"/>
    </row>
    <row r="614" spans="2:13" x14ac:dyDescent="0.25">
      <c r="B614"/>
      <c r="C614"/>
      <c r="D614"/>
      <c r="E614"/>
      <c r="F614"/>
      <c r="G614"/>
      <c r="H614"/>
      <c r="I614"/>
      <c r="J614"/>
      <c r="K614"/>
      <c r="L614"/>
      <c r="M614"/>
    </row>
    <row r="615" spans="2:13" x14ac:dyDescent="0.25">
      <c r="B615"/>
      <c r="C615"/>
      <c r="D615"/>
      <c r="E615"/>
      <c r="F615"/>
      <c r="G615"/>
      <c r="H615"/>
      <c r="I615"/>
      <c r="J615"/>
      <c r="K615"/>
      <c r="L615"/>
      <c r="M615"/>
    </row>
    <row r="616" spans="2:13" x14ac:dyDescent="0.25">
      <c r="B616"/>
      <c r="C616"/>
      <c r="D616"/>
      <c r="E616"/>
      <c r="F616"/>
      <c r="G616"/>
      <c r="H616"/>
      <c r="I616"/>
      <c r="J616"/>
      <c r="K616"/>
      <c r="L616"/>
      <c r="M616"/>
    </row>
    <row r="617" spans="2:13" x14ac:dyDescent="0.25">
      <c r="B617"/>
      <c r="C617"/>
      <c r="D617"/>
      <c r="E617"/>
      <c r="F617"/>
      <c r="G617"/>
      <c r="H617"/>
      <c r="I617"/>
      <c r="J617"/>
      <c r="K617"/>
      <c r="L617"/>
      <c r="M617"/>
    </row>
    <row r="618" spans="2:13" x14ac:dyDescent="0.25">
      <c r="B618"/>
      <c r="C618"/>
      <c r="D618"/>
      <c r="E618"/>
      <c r="F618"/>
      <c r="G618"/>
      <c r="H618"/>
      <c r="I618"/>
      <c r="J618"/>
      <c r="K618"/>
      <c r="L618"/>
      <c r="M618"/>
    </row>
    <row r="619" spans="2:13" x14ac:dyDescent="0.25">
      <c r="B619"/>
      <c r="C619"/>
      <c r="D619"/>
      <c r="E619"/>
      <c r="F619"/>
      <c r="G619"/>
      <c r="H619"/>
      <c r="I619"/>
      <c r="J619"/>
      <c r="K619"/>
      <c r="L619"/>
      <c r="M619"/>
    </row>
    <row r="620" spans="2:13" x14ac:dyDescent="0.25">
      <c r="B620"/>
      <c r="C620"/>
      <c r="D620"/>
      <c r="E620"/>
      <c r="F620"/>
      <c r="G620"/>
      <c r="H620"/>
      <c r="I620"/>
      <c r="J620"/>
      <c r="K620"/>
      <c r="L620"/>
      <c r="M620"/>
    </row>
    <row r="621" spans="2:13" x14ac:dyDescent="0.25">
      <c r="B621"/>
      <c r="C621"/>
      <c r="D621"/>
      <c r="E621"/>
      <c r="F621"/>
      <c r="G621"/>
      <c r="H621"/>
      <c r="I621"/>
      <c r="J621"/>
      <c r="K621"/>
      <c r="L621"/>
      <c r="M621"/>
    </row>
    <row r="622" spans="2:13" x14ac:dyDescent="0.25">
      <c r="B622"/>
      <c r="C622"/>
      <c r="D622"/>
      <c r="E622"/>
      <c r="F622"/>
      <c r="G622"/>
      <c r="H622"/>
      <c r="I622"/>
      <c r="J622"/>
      <c r="K622"/>
      <c r="L622"/>
      <c r="M622"/>
    </row>
    <row r="623" spans="2:13" x14ac:dyDescent="0.25">
      <c r="B623"/>
      <c r="C623"/>
      <c r="D623"/>
      <c r="E623"/>
      <c r="F623"/>
      <c r="G623"/>
      <c r="H623"/>
      <c r="I623"/>
      <c r="J623"/>
      <c r="K623"/>
      <c r="L623"/>
      <c r="M623"/>
    </row>
    <row r="624" spans="2:13" x14ac:dyDescent="0.25">
      <c r="B624"/>
      <c r="C624"/>
      <c r="D624"/>
      <c r="E624"/>
      <c r="F624"/>
      <c r="G624"/>
      <c r="H624"/>
      <c r="I624"/>
      <c r="J624"/>
      <c r="K624"/>
      <c r="L624"/>
      <c r="M624"/>
    </row>
    <row r="625" spans="2:13" x14ac:dyDescent="0.25">
      <c r="B625"/>
      <c r="C625"/>
      <c r="D625"/>
      <c r="E625"/>
      <c r="F625"/>
      <c r="G625"/>
      <c r="H625"/>
      <c r="I625"/>
      <c r="J625"/>
      <c r="K625"/>
      <c r="L625"/>
      <c r="M625"/>
    </row>
    <row r="626" spans="2:13" x14ac:dyDescent="0.25">
      <c r="B626"/>
      <c r="C626"/>
      <c r="D626"/>
      <c r="E626"/>
      <c r="F626"/>
      <c r="G626"/>
      <c r="H626"/>
      <c r="I626"/>
      <c r="J626"/>
      <c r="K626"/>
      <c r="L626"/>
      <c r="M626"/>
    </row>
    <row r="627" spans="2:13" x14ac:dyDescent="0.25">
      <c r="B627"/>
      <c r="C627"/>
      <c r="D627"/>
      <c r="E627"/>
      <c r="F627"/>
      <c r="G627"/>
      <c r="H627"/>
      <c r="I627"/>
      <c r="J627"/>
      <c r="K627"/>
      <c r="L627"/>
      <c r="M627"/>
    </row>
    <row r="628" spans="2:13" x14ac:dyDescent="0.25">
      <c r="B628"/>
      <c r="C628"/>
      <c r="D628"/>
      <c r="E628"/>
      <c r="F628"/>
      <c r="G628"/>
      <c r="H628"/>
      <c r="I628"/>
      <c r="J628"/>
      <c r="K628"/>
      <c r="L628"/>
      <c r="M628"/>
    </row>
    <row r="629" spans="2:13" x14ac:dyDescent="0.25">
      <c r="B629"/>
      <c r="C629"/>
      <c r="D629"/>
      <c r="E629"/>
      <c r="F629"/>
      <c r="G629"/>
      <c r="H629"/>
      <c r="I629"/>
      <c r="J629"/>
      <c r="K629"/>
      <c r="L629"/>
      <c r="M629"/>
    </row>
    <row r="630" spans="2:13" x14ac:dyDescent="0.25">
      <c r="B630"/>
      <c r="C630"/>
      <c r="D630"/>
      <c r="E630"/>
      <c r="F630"/>
      <c r="G630"/>
      <c r="H630"/>
      <c r="I630"/>
      <c r="J630"/>
      <c r="K630"/>
      <c r="L630"/>
      <c r="M630"/>
    </row>
    <row r="631" spans="2:13" x14ac:dyDescent="0.25">
      <c r="B631"/>
      <c r="C631"/>
      <c r="D631"/>
      <c r="E631"/>
      <c r="F631"/>
      <c r="G631"/>
      <c r="H631"/>
      <c r="I631"/>
      <c r="J631"/>
      <c r="K631"/>
      <c r="L631"/>
      <c r="M631"/>
    </row>
    <row r="632" spans="2:13" x14ac:dyDescent="0.25">
      <c r="B632"/>
      <c r="C632"/>
      <c r="D632"/>
      <c r="E632"/>
      <c r="F632"/>
      <c r="G632"/>
      <c r="H632"/>
      <c r="I632"/>
      <c r="J632"/>
      <c r="K632"/>
      <c r="L632"/>
      <c r="M632"/>
    </row>
    <row r="633" spans="2:13" x14ac:dyDescent="0.25">
      <c r="B633"/>
      <c r="C633"/>
      <c r="D633"/>
      <c r="E633"/>
      <c r="F633"/>
      <c r="G633"/>
      <c r="H633"/>
      <c r="I633"/>
      <c r="J633"/>
      <c r="K633"/>
      <c r="L633"/>
      <c r="M633"/>
    </row>
    <row r="634" spans="2:13" x14ac:dyDescent="0.25">
      <c r="B634"/>
      <c r="C634"/>
      <c r="D634"/>
      <c r="E634"/>
      <c r="F634"/>
      <c r="G634"/>
      <c r="H634"/>
      <c r="I634"/>
      <c r="J634"/>
      <c r="K634"/>
      <c r="L634"/>
      <c r="M634"/>
    </row>
    <row r="635" spans="2:13" x14ac:dyDescent="0.25">
      <c r="B635"/>
      <c r="C635"/>
      <c r="D635"/>
      <c r="E635"/>
      <c r="F635"/>
      <c r="G635"/>
      <c r="H635"/>
      <c r="I635"/>
      <c r="J635"/>
      <c r="K635"/>
      <c r="L635"/>
      <c r="M635"/>
    </row>
    <row r="636" spans="2:13" x14ac:dyDescent="0.25">
      <c r="B636"/>
      <c r="C636"/>
      <c r="D636"/>
      <c r="E636"/>
      <c r="F636"/>
      <c r="G636"/>
      <c r="H636"/>
      <c r="I636"/>
      <c r="J636"/>
      <c r="K636"/>
      <c r="L636"/>
      <c r="M636"/>
    </row>
    <row r="637" spans="2:13" x14ac:dyDescent="0.25">
      <c r="B637"/>
      <c r="C637"/>
      <c r="D637"/>
      <c r="E637"/>
      <c r="F637"/>
      <c r="G637"/>
      <c r="H637"/>
      <c r="I637"/>
      <c r="J637"/>
      <c r="K637"/>
      <c r="L637"/>
      <c r="M637"/>
    </row>
    <row r="638" spans="2:13" x14ac:dyDescent="0.25">
      <c r="B638"/>
      <c r="C638"/>
      <c r="D638"/>
      <c r="E638"/>
      <c r="F638"/>
      <c r="G638"/>
      <c r="H638"/>
      <c r="I638"/>
      <c r="J638"/>
      <c r="K638"/>
      <c r="L638"/>
      <c r="M638"/>
    </row>
    <row r="639" spans="2:13" x14ac:dyDescent="0.25">
      <c r="B639"/>
      <c r="C639"/>
      <c r="D639"/>
      <c r="E639"/>
      <c r="F639"/>
      <c r="G639"/>
      <c r="H639"/>
      <c r="I639"/>
      <c r="J639"/>
      <c r="K639"/>
      <c r="L639"/>
      <c r="M639"/>
    </row>
    <row r="640" spans="2:13" x14ac:dyDescent="0.25">
      <c r="B640"/>
      <c r="C640"/>
      <c r="D640"/>
      <c r="E640"/>
      <c r="F640"/>
      <c r="G640"/>
      <c r="H640"/>
      <c r="I640"/>
      <c r="J640"/>
      <c r="K640"/>
      <c r="L640"/>
      <c r="M640"/>
    </row>
    <row r="641" spans="2:13" x14ac:dyDescent="0.25">
      <c r="B641"/>
      <c r="C641"/>
      <c r="D641"/>
      <c r="E641"/>
      <c r="F641"/>
      <c r="G641"/>
      <c r="H641"/>
      <c r="I641"/>
      <c r="J641"/>
      <c r="K641"/>
      <c r="L641"/>
      <c r="M641"/>
    </row>
    <row r="642" spans="2:13" x14ac:dyDescent="0.25">
      <c r="B642"/>
      <c r="C642"/>
      <c r="D642"/>
      <c r="E642"/>
      <c r="F642"/>
      <c r="G642"/>
      <c r="H642"/>
      <c r="I642"/>
      <c r="J642"/>
      <c r="K642"/>
      <c r="L642"/>
      <c r="M642"/>
    </row>
    <row r="643" spans="2:13" x14ac:dyDescent="0.25">
      <c r="B643"/>
      <c r="C643"/>
      <c r="D643"/>
      <c r="E643"/>
      <c r="F643"/>
      <c r="G643"/>
      <c r="H643"/>
      <c r="I643"/>
      <c r="J643"/>
      <c r="K643"/>
      <c r="L643"/>
      <c r="M643"/>
    </row>
    <row r="644" spans="2:13" x14ac:dyDescent="0.25">
      <c r="B644"/>
      <c r="C644"/>
      <c r="D644"/>
      <c r="E644"/>
      <c r="F644"/>
      <c r="G644"/>
      <c r="H644"/>
      <c r="I644"/>
      <c r="J644"/>
      <c r="K644"/>
      <c r="L644"/>
      <c r="M644"/>
    </row>
    <row r="645" spans="2:13" x14ac:dyDescent="0.25">
      <c r="B645"/>
      <c r="C645"/>
      <c r="D645"/>
      <c r="E645"/>
      <c r="F645"/>
      <c r="G645"/>
      <c r="H645"/>
      <c r="I645"/>
      <c r="J645"/>
      <c r="K645"/>
      <c r="L645"/>
      <c r="M645"/>
    </row>
    <row r="646" spans="2:13" x14ac:dyDescent="0.25">
      <c r="B646"/>
      <c r="C646"/>
      <c r="D646"/>
      <c r="E646"/>
      <c r="F646"/>
      <c r="G646"/>
      <c r="H646"/>
      <c r="I646"/>
      <c r="J646"/>
      <c r="K646"/>
      <c r="L646"/>
      <c r="M646"/>
    </row>
    <row r="647" spans="2:13" x14ac:dyDescent="0.25">
      <c r="B647"/>
      <c r="C647"/>
      <c r="D647"/>
      <c r="E647"/>
      <c r="F647"/>
      <c r="G647"/>
      <c r="H647"/>
      <c r="I647"/>
      <c r="J647"/>
      <c r="K647"/>
      <c r="L647"/>
      <c r="M647"/>
    </row>
    <row r="648" spans="2:13" x14ac:dyDescent="0.25">
      <c r="B648"/>
      <c r="C648"/>
      <c r="D648"/>
      <c r="E648"/>
      <c r="F648"/>
      <c r="G648"/>
      <c r="H648"/>
      <c r="I648"/>
      <c r="J648"/>
      <c r="K648"/>
      <c r="L648"/>
      <c r="M648"/>
    </row>
    <row r="649" spans="2:13" x14ac:dyDescent="0.25">
      <c r="B649"/>
      <c r="C649"/>
      <c r="D649"/>
      <c r="E649"/>
      <c r="F649"/>
      <c r="G649"/>
      <c r="H649"/>
      <c r="I649"/>
      <c r="J649"/>
      <c r="K649"/>
      <c r="L649"/>
      <c r="M649"/>
    </row>
    <row r="650" spans="2:13" x14ac:dyDescent="0.25">
      <c r="B650"/>
      <c r="C650"/>
      <c r="D650"/>
      <c r="E650"/>
      <c r="F650"/>
      <c r="G650"/>
      <c r="H650"/>
      <c r="I650"/>
      <c r="J650"/>
      <c r="K650"/>
      <c r="L650"/>
      <c r="M650"/>
    </row>
    <row r="651" spans="2:13" x14ac:dyDescent="0.25">
      <c r="B651"/>
      <c r="C651"/>
      <c r="D651"/>
      <c r="E651"/>
      <c r="F651"/>
      <c r="G651"/>
      <c r="H651"/>
      <c r="I651"/>
      <c r="J651"/>
      <c r="K651"/>
      <c r="L651"/>
      <c r="M651"/>
    </row>
    <row r="652" spans="2:13" x14ac:dyDescent="0.25">
      <c r="B652"/>
      <c r="C652"/>
      <c r="D652"/>
      <c r="E652"/>
      <c r="F652"/>
      <c r="G652"/>
      <c r="H652"/>
      <c r="I652"/>
      <c r="J652"/>
      <c r="K652"/>
      <c r="L652"/>
      <c r="M652"/>
    </row>
    <row r="653" spans="2:13" x14ac:dyDescent="0.25">
      <c r="B653"/>
      <c r="C653"/>
      <c r="D653"/>
      <c r="E653"/>
      <c r="F653"/>
      <c r="G653"/>
      <c r="H653"/>
      <c r="I653"/>
      <c r="J653"/>
      <c r="K653"/>
      <c r="L653"/>
      <c r="M653"/>
    </row>
    <row r="654" spans="2:13" x14ac:dyDescent="0.25">
      <c r="B654"/>
      <c r="C654"/>
      <c r="D654"/>
      <c r="E654"/>
      <c r="F654"/>
      <c r="G654"/>
      <c r="H654"/>
      <c r="I654"/>
      <c r="J654"/>
      <c r="K654"/>
      <c r="L654"/>
      <c r="M654"/>
    </row>
    <row r="655" spans="2:13" x14ac:dyDescent="0.25">
      <c r="B655"/>
      <c r="C655"/>
      <c r="D655"/>
      <c r="E655"/>
      <c r="F655"/>
      <c r="G655"/>
      <c r="H655"/>
      <c r="I655"/>
      <c r="J655"/>
      <c r="K655"/>
      <c r="L655"/>
      <c r="M655"/>
    </row>
    <row r="656" spans="2:13" x14ac:dyDescent="0.25">
      <c r="B656"/>
      <c r="C656"/>
      <c r="D656"/>
      <c r="E656"/>
      <c r="F656"/>
      <c r="G656"/>
      <c r="H656"/>
      <c r="I656"/>
      <c r="J656"/>
      <c r="K656"/>
      <c r="L656"/>
      <c r="M656"/>
    </row>
    <row r="657" spans="2:13" x14ac:dyDescent="0.25">
      <c r="B657"/>
      <c r="C657"/>
      <c r="D657"/>
      <c r="E657"/>
      <c r="F657"/>
      <c r="G657"/>
      <c r="H657"/>
      <c r="I657"/>
      <c r="J657"/>
      <c r="K657"/>
      <c r="L657"/>
      <c r="M657"/>
    </row>
    <row r="658" spans="2:13" x14ac:dyDescent="0.25">
      <c r="B658"/>
      <c r="C658"/>
      <c r="D658"/>
      <c r="E658"/>
      <c r="F658"/>
      <c r="G658"/>
      <c r="H658"/>
      <c r="I658"/>
      <c r="J658"/>
      <c r="K658"/>
      <c r="L658"/>
      <c r="M658"/>
    </row>
    <row r="659" spans="2:13" x14ac:dyDescent="0.25">
      <c r="B659"/>
      <c r="C659"/>
      <c r="D659"/>
      <c r="E659"/>
      <c r="F659"/>
      <c r="G659"/>
      <c r="H659"/>
      <c r="I659"/>
      <c r="J659"/>
      <c r="K659"/>
      <c r="L659"/>
      <c r="M659"/>
    </row>
    <row r="660" spans="2:13" x14ac:dyDescent="0.25">
      <c r="B660"/>
      <c r="C660"/>
      <c r="D660"/>
      <c r="E660"/>
      <c r="F660"/>
      <c r="G660"/>
      <c r="H660"/>
      <c r="I660"/>
      <c r="J660"/>
      <c r="K660"/>
      <c r="L660"/>
      <c r="M660"/>
    </row>
    <row r="661" spans="2:13" x14ac:dyDescent="0.25">
      <c r="B661"/>
      <c r="C661"/>
      <c r="D661"/>
      <c r="E661"/>
      <c r="F661"/>
      <c r="G661"/>
      <c r="H661"/>
      <c r="I661"/>
      <c r="J661"/>
      <c r="K661"/>
      <c r="L661"/>
      <c r="M661"/>
    </row>
    <row r="662" spans="2:13" x14ac:dyDescent="0.25">
      <c r="B662"/>
      <c r="C662"/>
      <c r="D662"/>
      <c r="E662"/>
      <c r="F662"/>
      <c r="G662"/>
      <c r="H662"/>
      <c r="I662"/>
      <c r="J662"/>
      <c r="K662"/>
      <c r="L662"/>
      <c r="M662"/>
    </row>
    <row r="663" spans="2:13" x14ac:dyDescent="0.25">
      <c r="B663"/>
      <c r="C663"/>
      <c r="D663"/>
      <c r="E663"/>
      <c r="F663"/>
      <c r="G663"/>
      <c r="H663"/>
      <c r="I663"/>
      <c r="J663"/>
      <c r="K663"/>
      <c r="L663"/>
      <c r="M663"/>
    </row>
    <row r="664" spans="2:13" x14ac:dyDescent="0.25">
      <c r="B664"/>
      <c r="C664"/>
      <c r="D664"/>
      <c r="E664"/>
      <c r="F664"/>
      <c r="G664"/>
      <c r="H664"/>
      <c r="I664"/>
      <c r="J664"/>
      <c r="K664"/>
      <c r="L664"/>
      <c r="M664"/>
    </row>
    <row r="665" spans="2:13" x14ac:dyDescent="0.25">
      <c r="B665"/>
      <c r="C665"/>
      <c r="D665"/>
      <c r="E665"/>
      <c r="F665"/>
      <c r="G665"/>
      <c r="H665"/>
      <c r="I665"/>
      <c r="J665"/>
      <c r="K665"/>
      <c r="L665"/>
      <c r="M665"/>
    </row>
    <row r="666" spans="2:13" x14ac:dyDescent="0.25">
      <c r="B666"/>
      <c r="C666"/>
      <c r="D666"/>
      <c r="E666"/>
      <c r="F666"/>
      <c r="G666"/>
      <c r="H666"/>
      <c r="I666"/>
      <c r="J666"/>
      <c r="K666"/>
      <c r="L666"/>
      <c r="M666"/>
    </row>
    <row r="667" spans="2:13" x14ac:dyDescent="0.25">
      <c r="B667"/>
      <c r="C667"/>
      <c r="D667"/>
      <c r="E667"/>
      <c r="F667"/>
      <c r="G667"/>
      <c r="H667"/>
      <c r="I667"/>
      <c r="J667"/>
      <c r="K667"/>
      <c r="L667"/>
      <c r="M667"/>
    </row>
    <row r="668" spans="2:13" x14ac:dyDescent="0.25">
      <c r="B668"/>
      <c r="C668"/>
      <c r="D668"/>
      <c r="E668"/>
      <c r="F668"/>
      <c r="G668"/>
      <c r="H668"/>
      <c r="I668"/>
      <c r="J668"/>
      <c r="K668"/>
      <c r="L668"/>
      <c r="M668"/>
    </row>
    <row r="669" spans="2:13" x14ac:dyDescent="0.25">
      <c r="B669"/>
      <c r="C669"/>
      <c r="D669"/>
      <c r="E669"/>
      <c r="F669"/>
      <c r="G669"/>
      <c r="H669"/>
      <c r="I669"/>
      <c r="J669"/>
      <c r="K669"/>
      <c r="L669"/>
      <c r="M669"/>
    </row>
    <row r="670" spans="2:13" x14ac:dyDescent="0.25">
      <c r="B670"/>
      <c r="C670"/>
      <c r="D670"/>
      <c r="E670"/>
      <c r="F670"/>
      <c r="G670"/>
      <c r="H670"/>
      <c r="I670"/>
      <c r="J670"/>
      <c r="K670"/>
      <c r="L670"/>
      <c r="M670"/>
    </row>
    <row r="671" spans="2:13" x14ac:dyDescent="0.25">
      <c r="B671"/>
      <c r="C671"/>
      <c r="D671"/>
      <c r="E671"/>
      <c r="F671"/>
      <c r="G671"/>
      <c r="H671"/>
      <c r="I671"/>
      <c r="J671"/>
      <c r="K671"/>
      <c r="L671"/>
      <c r="M671"/>
    </row>
    <row r="672" spans="2:13" x14ac:dyDescent="0.25">
      <c r="B672"/>
      <c r="C672"/>
      <c r="D672"/>
      <c r="E672"/>
      <c r="F672"/>
      <c r="G672"/>
      <c r="H672"/>
      <c r="I672"/>
      <c r="J672"/>
      <c r="K672"/>
      <c r="L672"/>
      <c r="M672"/>
    </row>
    <row r="673" spans="2:13" x14ac:dyDescent="0.25">
      <c r="B673"/>
      <c r="C673"/>
      <c r="D673"/>
      <c r="E673"/>
      <c r="F673"/>
      <c r="G673"/>
      <c r="H673"/>
      <c r="I673"/>
      <c r="J673"/>
      <c r="K673"/>
      <c r="L673"/>
      <c r="M673"/>
    </row>
    <row r="674" spans="2:13" x14ac:dyDescent="0.25">
      <c r="B674"/>
      <c r="C674"/>
      <c r="D674"/>
      <c r="E674"/>
      <c r="F674"/>
      <c r="G674"/>
      <c r="H674"/>
      <c r="I674"/>
      <c r="J674"/>
      <c r="K674"/>
      <c r="L674"/>
      <c r="M674"/>
    </row>
    <row r="675" spans="2:13" x14ac:dyDescent="0.25">
      <c r="B675"/>
      <c r="C675"/>
      <c r="D675"/>
      <c r="E675"/>
      <c r="F675"/>
      <c r="G675"/>
      <c r="H675"/>
      <c r="I675"/>
      <c r="J675"/>
      <c r="K675"/>
      <c r="L675"/>
      <c r="M675"/>
    </row>
    <row r="676" spans="2:13" x14ac:dyDescent="0.25">
      <c r="B676"/>
      <c r="C676"/>
      <c r="D676"/>
      <c r="E676"/>
      <c r="F676"/>
      <c r="G676"/>
      <c r="H676"/>
      <c r="I676"/>
      <c r="J676"/>
      <c r="K676"/>
      <c r="L676"/>
      <c r="M676"/>
    </row>
    <row r="677" spans="2:13" x14ac:dyDescent="0.25">
      <c r="B677"/>
      <c r="C677"/>
      <c r="D677"/>
      <c r="E677"/>
      <c r="F677"/>
      <c r="G677"/>
      <c r="H677"/>
      <c r="I677"/>
      <c r="J677"/>
      <c r="K677"/>
      <c r="L677"/>
      <c r="M677"/>
    </row>
    <row r="678" spans="2:13" x14ac:dyDescent="0.25">
      <c r="B678"/>
      <c r="C678"/>
      <c r="D678"/>
      <c r="E678"/>
      <c r="F678"/>
      <c r="G678"/>
      <c r="H678"/>
      <c r="I678"/>
      <c r="J678"/>
      <c r="K678"/>
      <c r="L678"/>
      <c r="M678"/>
    </row>
    <row r="679" spans="2:13" x14ac:dyDescent="0.25">
      <c r="B679"/>
      <c r="C679"/>
      <c r="D679"/>
      <c r="E679"/>
      <c r="F679"/>
      <c r="G679"/>
      <c r="H679"/>
      <c r="I679"/>
      <c r="J679"/>
      <c r="K679"/>
      <c r="L679"/>
      <c r="M679"/>
    </row>
    <row r="680" spans="2:13" x14ac:dyDescent="0.25">
      <c r="B680"/>
      <c r="C680"/>
      <c r="D680"/>
      <c r="E680"/>
      <c r="F680"/>
      <c r="G680"/>
      <c r="H680"/>
      <c r="I680"/>
      <c r="J680"/>
      <c r="K680"/>
      <c r="L680"/>
      <c r="M680"/>
    </row>
    <row r="681" spans="2:13" x14ac:dyDescent="0.25">
      <c r="B681"/>
      <c r="C681"/>
      <c r="D681"/>
      <c r="E681"/>
      <c r="F681"/>
      <c r="G681"/>
      <c r="H681"/>
      <c r="I681"/>
      <c r="J681"/>
      <c r="K681"/>
      <c r="L681"/>
      <c r="M681"/>
    </row>
    <row r="682" spans="2:13" x14ac:dyDescent="0.25">
      <c r="B682"/>
      <c r="C682"/>
      <c r="D682"/>
      <c r="E682"/>
      <c r="F682"/>
      <c r="G682"/>
      <c r="H682"/>
      <c r="I682"/>
      <c r="J682"/>
      <c r="K682"/>
      <c r="L682"/>
      <c r="M682"/>
    </row>
    <row r="683" spans="2:13" x14ac:dyDescent="0.25">
      <c r="B683"/>
      <c r="C683"/>
      <c r="D683"/>
      <c r="E683"/>
      <c r="F683"/>
      <c r="G683"/>
      <c r="H683"/>
      <c r="I683"/>
      <c r="J683"/>
      <c r="K683"/>
      <c r="L683"/>
      <c r="M683"/>
    </row>
    <row r="684" spans="2:13" x14ac:dyDescent="0.25">
      <c r="B684"/>
      <c r="C684"/>
      <c r="D684"/>
      <c r="E684"/>
      <c r="F684"/>
      <c r="G684"/>
      <c r="H684"/>
      <c r="I684"/>
      <c r="J684"/>
      <c r="K684"/>
      <c r="L684"/>
      <c r="M684"/>
    </row>
    <row r="685" spans="2:13" x14ac:dyDescent="0.25">
      <c r="B685"/>
      <c r="C685"/>
      <c r="D685"/>
      <c r="E685"/>
      <c r="F685"/>
      <c r="G685"/>
      <c r="H685"/>
      <c r="I685"/>
      <c r="J685"/>
      <c r="K685"/>
      <c r="L685"/>
      <c r="M685"/>
    </row>
    <row r="686" spans="2:13" x14ac:dyDescent="0.25">
      <c r="B686"/>
      <c r="C686"/>
      <c r="D686"/>
      <c r="E686"/>
      <c r="F686"/>
      <c r="G686"/>
      <c r="H686"/>
      <c r="I686"/>
      <c r="J686"/>
      <c r="K686"/>
      <c r="L686"/>
      <c r="M686"/>
    </row>
    <row r="687" spans="2:13" x14ac:dyDescent="0.25">
      <c r="B687"/>
      <c r="C687"/>
      <c r="D687"/>
      <c r="E687"/>
      <c r="F687"/>
      <c r="G687"/>
      <c r="H687"/>
      <c r="I687"/>
      <c r="J687"/>
      <c r="K687"/>
      <c r="L687"/>
      <c r="M687"/>
    </row>
    <row r="688" spans="2:13" x14ac:dyDescent="0.25">
      <c r="B688"/>
      <c r="C688"/>
      <c r="D688"/>
      <c r="E688"/>
      <c r="F688"/>
      <c r="G688"/>
      <c r="H688"/>
      <c r="I688"/>
      <c r="J688"/>
      <c r="K688"/>
      <c r="L688"/>
      <c r="M688"/>
    </row>
    <row r="689" spans="2:13" x14ac:dyDescent="0.25">
      <c r="B689"/>
      <c r="C689"/>
      <c r="D689"/>
      <c r="E689"/>
      <c r="F689"/>
      <c r="G689"/>
      <c r="H689"/>
      <c r="I689"/>
      <c r="J689"/>
      <c r="K689"/>
      <c r="L689"/>
      <c r="M689"/>
    </row>
    <row r="690" spans="2:13" x14ac:dyDescent="0.25">
      <c r="B690"/>
      <c r="C690"/>
      <c r="D690"/>
      <c r="E690"/>
      <c r="F690"/>
      <c r="G690"/>
      <c r="H690"/>
      <c r="I690"/>
      <c r="J690"/>
      <c r="K690"/>
      <c r="L690"/>
      <c r="M690"/>
    </row>
    <row r="691" spans="2:13" x14ac:dyDescent="0.25">
      <c r="B691"/>
      <c r="C691"/>
      <c r="D691"/>
      <c r="E691"/>
      <c r="F691"/>
      <c r="G691"/>
      <c r="H691"/>
      <c r="I691"/>
      <c r="J691"/>
      <c r="K691"/>
      <c r="L691"/>
      <c r="M691"/>
    </row>
    <row r="692" spans="2:13" x14ac:dyDescent="0.25">
      <c r="B692"/>
      <c r="C692"/>
      <c r="D692"/>
      <c r="E692"/>
      <c r="F692"/>
      <c r="G692"/>
      <c r="H692"/>
      <c r="I692"/>
      <c r="J692"/>
      <c r="K692"/>
      <c r="L692"/>
      <c r="M692"/>
    </row>
    <row r="693" spans="2:13" x14ac:dyDescent="0.25">
      <c r="B693"/>
      <c r="C693"/>
      <c r="D693"/>
      <c r="E693"/>
      <c r="F693"/>
      <c r="G693"/>
      <c r="H693"/>
      <c r="I693"/>
      <c r="J693"/>
      <c r="K693"/>
      <c r="L693"/>
      <c r="M693"/>
    </row>
    <row r="694" spans="2:13" x14ac:dyDescent="0.25">
      <c r="B694"/>
      <c r="C694"/>
      <c r="D694"/>
      <c r="E694"/>
      <c r="F694"/>
      <c r="G694"/>
      <c r="H694"/>
      <c r="I694"/>
      <c r="J694"/>
      <c r="K694"/>
      <c r="L694"/>
      <c r="M694"/>
    </row>
    <row r="695" spans="2:13" x14ac:dyDescent="0.25">
      <c r="B695"/>
      <c r="C695"/>
      <c r="D695"/>
      <c r="E695"/>
      <c r="F695"/>
      <c r="G695"/>
      <c r="H695"/>
      <c r="I695"/>
      <c r="J695"/>
      <c r="K695"/>
      <c r="L695"/>
      <c r="M695"/>
    </row>
    <row r="696" spans="2:13" x14ac:dyDescent="0.25">
      <c r="B696"/>
      <c r="C696"/>
      <c r="D696"/>
      <c r="E696"/>
      <c r="F696"/>
      <c r="G696"/>
      <c r="H696"/>
      <c r="I696"/>
      <c r="J696"/>
      <c r="K696"/>
      <c r="L696"/>
      <c r="M696"/>
    </row>
    <row r="697" spans="2:13" x14ac:dyDescent="0.25">
      <c r="B697"/>
      <c r="C697"/>
      <c r="D697"/>
      <c r="E697"/>
      <c r="F697"/>
      <c r="G697"/>
      <c r="H697"/>
      <c r="I697"/>
      <c r="J697"/>
      <c r="K697"/>
      <c r="L697"/>
      <c r="M697"/>
    </row>
    <row r="698" spans="2:13" x14ac:dyDescent="0.25">
      <c r="B698"/>
      <c r="C698"/>
      <c r="D698"/>
      <c r="E698"/>
      <c r="F698"/>
      <c r="G698"/>
      <c r="H698"/>
      <c r="I698"/>
      <c r="J698"/>
      <c r="K698"/>
      <c r="L698"/>
      <c r="M698"/>
    </row>
    <row r="699" spans="2:13" x14ac:dyDescent="0.25">
      <c r="B699"/>
      <c r="C699"/>
      <c r="D699"/>
      <c r="E699"/>
      <c r="F699"/>
      <c r="G699"/>
      <c r="H699"/>
      <c r="I699"/>
      <c r="J699"/>
      <c r="K699"/>
      <c r="L699"/>
      <c r="M699"/>
    </row>
    <row r="700" spans="2:13" x14ac:dyDescent="0.25">
      <c r="B700"/>
      <c r="C700"/>
      <c r="D700"/>
      <c r="E700"/>
      <c r="F700"/>
      <c r="G700"/>
      <c r="H700"/>
      <c r="I700"/>
      <c r="J700"/>
      <c r="K700"/>
      <c r="L700"/>
      <c r="M700"/>
    </row>
    <row r="701" spans="2:13" x14ac:dyDescent="0.25">
      <c r="B701"/>
      <c r="C701"/>
      <c r="D701"/>
      <c r="E701"/>
      <c r="F701"/>
      <c r="G701"/>
      <c r="H701"/>
      <c r="I701"/>
      <c r="J701"/>
      <c r="K701"/>
      <c r="L701"/>
      <c r="M701"/>
    </row>
    <row r="702" spans="2:13" x14ac:dyDescent="0.25">
      <c r="B702"/>
      <c r="C702"/>
      <c r="D702"/>
      <c r="E702"/>
      <c r="F702"/>
      <c r="G702"/>
      <c r="H702"/>
      <c r="I702"/>
      <c r="J702"/>
      <c r="K702"/>
      <c r="L702"/>
      <c r="M702"/>
    </row>
    <row r="703" spans="2:13" x14ac:dyDescent="0.25">
      <c r="B703"/>
      <c r="C703"/>
      <c r="D703"/>
      <c r="E703"/>
      <c r="F703"/>
      <c r="G703"/>
      <c r="H703"/>
      <c r="I703"/>
      <c r="J703"/>
      <c r="K703"/>
      <c r="L703"/>
      <c r="M703"/>
    </row>
    <row r="704" spans="2:13" x14ac:dyDescent="0.25">
      <c r="B704"/>
      <c r="C704"/>
      <c r="D704"/>
      <c r="E704"/>
      <c r="F704"/>
      <c r="G704"/>
      <c r="H704"/>
      <c r="I704"/>
      <c r="J704"/>
      <c r="K704"/>
      <c r="L704"/>
      <c r="M704"/>
    </row>
    <row r="705" spans="2:13" x14ac:dyDescent="0.25">
      <c r="B705"/>
      <c r="C705"/>
      <c r="D705"/>
      <c r="E705"/>
      <c r="F705"/>
      <c r="G705"/>
      <c r="H705"/>
      <c r="I705"/>
      <c r="J705"/>
      <c r="K705"/>
      <c r="L705"/>
      <c r="M705"/>
    </row>
    <row r="706" spans="2:13" x14ac:dyDescent="0.25">
      <c r="B706"/>
      <c r="C706"/>
      <c r="D706"/>
      <c r="E706"/>
      <c r="F706"/>
      <c r="G706"/>
      <c r="H706"/>
      <c r="I706"/>
      <c r="J706"/>
      <c r="K706"/>
      <c r="L706"/>
      <c r="M706"/>
    </row>
    <row r="707" spans="2:13" x14ac:dyDescent="0.25">
      <c r="B707"/>
      <c r="C707"/>
      <c r="D707"/>
      <c r="E707"/>
      <c r="F707"/>
      <c r="G707"/>
      <c r="H707"/>
      <c r="I707"/>
      <c r="J707"/>
      <c r="K707"/>
      <c r="L707"/>
      <c r="M707"/>
    </row>
    <row r="708" spans="2:13" x14ac:dyDescent="0.25">
      <c r="B708"/>
      <c r="C708"/>
      <c r="D708"/>
      <c r="E708"/>
      <c r="F708"/>
      <c r="G708"/>
      <c r="H708"/>
      <c r="I708"/>
      <c r="J708"/>
      <c r="K708"/>
      <c r="L708"/>
      <c r="M708"/>
    </row>
    <row r="709" spans="2:13" x14ac:dyDescent="0.25">
      <c r="B709"/>
      <c r="C709"/>
      <c r="D709"/>
      <c r="E709"/>
      <c r="F709"/>
      <c r="G709"/>
      <c r="H709"/>
      <c r="I709"/>
      <c r="J709"/>
      <c r="K709"/>
      <c r="L709"/>
      <c r="M709"/>
    </row>
    <row r="710" spans="2:13" x14ac:dyDescent="0.25">
      <c r="B710"/>
      <c r="C710"/>
      <c r="D710"/>
      <c r="E710"/>
      <c r="F710"/>
      <c r="G710"/>
      <c r="H710"/>
      <c r="I710"/>
      <c r="J710"/>
      <c r="K710"/>
      <c r="L710"/>
      <c r="M710"/>
    </row>
    <row r="711" spans="2:13" x14ac:dyDescent="0.25">
      <c r="B711"/>
      <c r="C711"/>
      <c r="D711"/>
      <c r="E711"/>
      <c r="F711"/>
      <c r="G711"/>
      <c r="H711"/>
      <c r="I711"/>
      <c r="J711"/>
      <c r="K711"/>
      <c r="L711"/>
      <c r="M711"/>
    </row>
    <row r="712" spans="2:13" x14ac:dyDescent="0.25">
      <c r="B712"/>
      <c r="C712"/>
      <c r="D712"/>
      <c r="E712"/>
      <c r="F712"/>
      <c r="G712"/>
      <c r="H712"/>
      <c r="I712"/>
      <c r="J712"/>
      <c r="K712"/>
      <c r="L712"/>
      <c r="M712"/>
    </row>
    <row r="713" spans="2:13" x14ac:dyDescent="0.25">
      <c r="B713"/>
      <c r="C713"/>
      <c r="D713"/>
      <c r="E713"/>
      <c r="F713"/>
      <c r="G713"/>
      <c r="H713"/>
      <c r="I713"/>
      <c r="J713"/>
      <c r="K713"/>
      <c r="L713"/>
      <c r="M713"/>
    </row>
    <row r="714" spans="2:13" x14ac:dyDescent="0.25">
      <c r="B714"/>
      <c r="C714"/>
      <c r="D714"/>
      <c r="E714"/>
      <c r="F714"/>
      <c r="G714"/>
      <c r="H714"/>
      <c r="I714"/>
      <c r="J714"/>
      <c r="K714"/>
      <c r="L714"/>
      <c r="M714"/>
    </row>
    <row r="715" spans="2:13" x14ac:dyDescent="0.25">
      <c r="B715"/>
      <c r="C715"/>
      <c r="D715"/>
      <c r="E715"/>
      <c r="F715"/>
      <c r="G715"/>
      <c r="H715"/>
      <c r="I715"/>
      <c r="J715"/>
      <c r="K715"/>
      <c r="L715"/>
      <c r="M715"/>
    </row>
    <row r="716" spans="2:13" x14ac:dyDescent="0.25">
      <c r="B716"/>
      <c r="C716"/>
      <c r="D716"/>
      <c r="E716"/>
      <c r="F716"/>
      <c r="G716"/>
      <c r="H716"/>
      <c r="I716"/>
      <c r="J716"/>
      <c r="K716"/>
      <c r="L716"/>
      <c r="M716"/>
    </row>
    <row r="717" spans="2:13" x14ac:dyDescent="0.25">
      <c r="B717"/>
      <c r="C717"/>
      <c r="D717"/>
      <c r="E717"/>
      <c r="F717"/>
      <c r="G717"/>
      <c r="H717"/>
      <c r="I717"/>
      <c r="J717"/>
      <c r="K717"/>
      <c r="L717"/>
      <c r="M717"/>
    </row>
    <row r="718" spans="2:13" x14ac:dyDescent="0.25">
      <c r="B718"/>
      <c r="C718"/>
      <c r="D718"/>
      <c r="E718"/>
      <c r="F718"/>
      <c r="G718"/>
      <c r="H718"/>
      <c r="I718"/>
      <c r="J718"/>
      <c r="K718"/>
      <c r="L718"/>
      <c r="M718"/>
    </row>
    <row r="719" spans="2:13" x14ac:dyDescent="0.25">
      <c r="B719"/>
      <c r="C719"/>
      <c r="D719"/>
      <c r="E719"/>
      <c r="F719"/>
      <c r="G719"/>
      <c r="H719"/>
      <c r="I719"/>
      <c r="J719"/>
      <c r="K719"/>
      <c r="L719"/>
      <c r="M719"/>
    </row>
    <row r="720" spans="2:13" x14ac:dyDescent="0.25">
      <c r="B720"/>
      <c r="C720"/>
      <c r="D720"/>
      <c r="E720"/>
      <c r="F720"/>
      <c r="G720"/>
      <c r="H720"/>
      <c r="I720"/>
      <c r="J720"/>
      <c r="K720"/>
      <c r="L720"/>
      <c r="M720"/>
    </row>
    <row r="721" spans="2:13" x14ac:dyDescent="0.25">
      <c r="B721"/>
      <c r="C721"/>
      <c r="D721"/>
      <c r="E721"/>
      <c r="F721"/>
      <c r="G721"/>
      <c r="H721"/>
      <c r="I721"/>
      <c r="J721"/>
      <c r="K721"/>
      <c r="L721"/>
      <c r="M721"/>
    </row>
    <row r="722" spans="2:13" x14ac:dyDescent="0.25">
      <c r="B722"/>
      <c r="C722"/>
      <c r="D722"/>
      <c r="E722"/>
      <c r="F722"/>
      <c r="G722"/>
      <c r="H722"/>
      <c r="I722"/>
      <c r="J722"/>
      <c r="K722"/>
      <c r="L722"/>
      <c r="M722"/>
    </row>
    <row r="723" spans="2:13" x14ac:dyDescent="0.25">
      <c r="B723"/>
      <c r="C723"/>
      <c r="D723"/>
      <c r="E723"/>
      <c r="F723"/>
      <c r="G723"/>
      <c r="H723"/>
      <c r="I723"/>
      <c r="J723"/>
      <c r="K723"/>
      <c r="L723"/>
      <c r="M723"/>
    </row>
    <row r="724" spans="2:13" x14ac:dyDescent="0.25">
      <c r="B724"/>
      <c r="C724"/>
      <c r="D724"/>
      <c r="E724"/>
      <c r="F724"/>
      <c r="G724"/>
      <c r="H724"/>
      <c r="I724"/>
      <c r="J724"/>
      <c r="K724"/>
      <c r="L724"/>
      <c r="M724"/>
    </row>
    <row r="725" spans="2:13" x14ac:dyDescent="0.25">
      <c r="B725"/>
      <c r="C725"/>
      <c r="D725"/>
      <c r="E725"/>
      <c r="F725"/>
      <c r="G725"/>
      <c r="H725"/>
      <c r="I725"/>
      <c r="J725"/>
      <c r="K725"/>
      <c r="L725"/>
      <c r="M725"/>
    </row>
    <row r="726" spans="2:13" x14ac:dyDescent="0.25">
      <c r="B726"/>
      <c r="C726"/>
      <c r="D726"/>
      <c r="E726"/>
      <c r="F726"/>
      <c r="G726"/>
      <c r="H726"/>
      <c r="I726"/>
      <c r="J726"/>
      <c r="K726"/>
      <c r="L726"/>
      <c r="M726"/>
    </row>
    <row r="727" spans="2:13" x14ac:dyDescent="0.25">
      <c r="B727"/>
      <c r="C727"/>
      <c r="D727"/>
      <c r="E727"/>
      <c r="F727"/>
      <c r="G727"/>
      <c r="H727"/>
      <c r="I727"/>
      <c r="J727"/>
      <c r="K727"/>
      <c r="L727"/>
      <c r="M727"/>
    </row>
    <row r="728" spans="2:13" x14ac:dyDescent="0.25">
      <c r="B728"/>
      <c r="C728"/>
      <c r="D728"/>
      <c r="E728"/>
      <c r="F728"/>
      <c r="G728"/>
      <c r="H728"/>
      <c r="I728"/>
      <c r="J728"/>
      <c r="K728"/>
      <c r="L728"/>
      <c r="M728"/>
    </row>
    <row r="729" spans="2:13" x14ac:dyDescent="0.25">
      <c r="B729"/>
      <c r="C729"/>
      <c r="D729"/>
      <c r="E729"/>
      <c r="F729"/>
      <c r="G729"/>
      <c r="H729"/>
      <c r="I729"/>
      <c r="J729"/>
      <c r="K729"/>
      <c r="L729"/>
      <c r="M729"/>
    </row>
    <row r="730" spans="2:13" x14ac:dyDescent="0.25">
      <c r="B730"/>
      <c r="C730"/>
      <c r="D730"/>
      <c r="E730"/>
      <c r="F730"/>
      <c r="G730"/>
      <c r="H730"/>
      <c r="I730"/>
      <c r="J730"/>
      <c r="K730"/>
      <c r="L730"/>
      <c r="M730"/>
    </row>
    <row r="731" spans="2:13" x14ac:dyDescent="0.25">
      <c r="B731"/>
      <c r="C731"/>
      <c r="D731"/>
      <c r="E731"/>
      <c r="F731"/>
      <c r="G731"/>
      <c r="H731"/>
      <c r="I731"/>
      <c r="J731"/>
      <c r="K731"/>
      <c r="L731"/>
      <c r="M731"/>
    </row>
    <row r="732" spans="2:13" x14ac:dyDescent="0.25">
      <c r="B732"/>
      <c r="C732"/>
      <c r="D732"/>
      <c r="E732"/>
      <c r="F732"/>
      <c r="G732"/>
      <c r="H732"/>
      <c r="I732"/>
      <c r="J732"/>
      <c r="K732"/>
      <c r="L732"/>
      <c r="M732"/>
    </row>
    <row r="733" spans="2:13" x14ac:dyDescent="0.25">
      <c r="B733"/>
      <c r="C733"/>
      <c r="D733"/>
      <c r="E733"/>
      <c r="F733"/>
      <c r="G733"/>
      <c r="H733"/>
      <c r="I733"/>
      <c r="J733"/>
      <c r="K733"/>
      <c r="L733"/>
      <c r="M733"/>
    </row>
    <row r="734" spans="2:13" x14ac:dyDescent="0.25">
      <c r="B734"/>
      <c r="C734"/>
      <c r="D734"/>
      <c r="E734"/>
      <c r="F734"/>
      <c r="G734"/>
      <c r="H734"/>
      <c r="I734"/>
      <c r="J734"/>
      <c r="K734"/>
      <c r="L734"/>
      <c r="M734"/>
    </row>
    <row r="735" spans="2:13" x14ac:dyDescent="0.25">
      <c r="B735"/>
      <c r="C735"/>
      <c r="D735"/>
      <c r="E735"/>
      <c r="F735"/>
      <c r="G735"/>
      <c r="H735"/>
      <c r="I735"/>
      <c r="J735"/>
      <c r="K735"/>
      <c r="L735"/>
      <c r="M735"/>
    </row>
    <row r="736" spans="2:13" x14ac:dyDescent="0.25">
      <c r="B736"/>
      <c r="C736"/>
      <c r="D736"/>
      <c r="E736"/>
      <c r="F736"/>
      <c r="G736"/>
      <c r="H736"/>
      <c r="I736"/>
      <c r="J736"/>
      <c r="K736"/>
      <c r="L736"/>
      <c r="M736"/>
    </row>
    <row r="737" spans="2:13" x14ac:dyDescent="0.25">
      <c r="B737"/>
      <c r="C737"/>
      <c r="D737"/>
      <c r="E737"/>
      <c r="F737"/>
      <c r="G737"/>
      <c r="H737"/>
      <c r="I737"/>
      <c r="J737"/>
      <c r="K737"/>
      <c r="L737"/>
      <c r="M737"/>
    </row>
    <row r="738" spans="2:13" x14ac:dyDescent="0.25">
      <c r="B738"/>
      <c r="C738"/>
      <c r="D738"/>
      <c r="E738"/>
      <c r="F738"/>
      <c r="G738"/>
      <c r="H738"/>
      <c r="I738"/>
      <c r="J738"/>
      <c r="K738"/>
      <c r="L738"/>
      <c r="M738"/>
    </row>
    <row r="739" spans="2:13" x14ac:dyDescent="0.25">
      <c r="B739"/>
      <c r="C739"/>
      <c r="D739"/>
      <c r="E739"/>
      <c r="F739"/>
      <c r="G739"/>
      <c r="H739"/>
      <c r="I739"/>
      <c r="J739"/>
      <c r="K739"/>
      <c r="L739"/>
      <c r="M739"/>
    </row>
    <row r="740" spans="2:13" x14ac:dyDescent="0.25">
      <c r="B740"/>
      <c r="C740"/>
      <c r="D740"/>
      <c r="E740"/>
      <c r="F740"/>
      <c r="G740"/>
      <c r="H740"/>
      <c r="I740"/>
      <c r="J740"/>
      <c r="K740"/>
      <c r="L740"/>
      <c r="M740"/>
    </row>
    <row r="741" spans="2:13" x14ac:dyDescent="0.25">
      <c r="B741"/>
      <c r="C741"/>
      <c r="D741"/>
      <c r="E741"/>
      <c r="F741"/>
      <c r="G741"/>
      <c r="H741"/>
      <c r="I741"/>
      <c r="J741"/>
      <c r="K741"/>
      <c r="L741"/>
      <c r="M741"/>
    </row>
    <row r="742" spans="2:13" x14ac:dyDescent="0.25">
      <c r="B742"/>
      <c r="C742"/>
      <c r="D742"/>
      <c r="E742"/>
      <c r="F742"/>
      <c r="G742"/>
      <c r="H742"/>
      <c r="I742"/>
      <c r="J742"/>
      <c r="K742"/>
      <c r="L742"/>
      <c r="M742"/>
    </row>
    <row r="743" spans="2:13" x14ac:dyDescent="0.25">
      <c r="B743"/>
      <c r="C743"/>
      <c r="D743"/>
      <c r="E743"/>
      <c r="F743"/>
      <c r="G743"/>
      <c r="H743"/>
      <c r="I743"/>
      <c r="J743"/>
      <c r="K743"/>
      <c r="L743"/>
      <c r="M743"/>
    </row>
    <row r="744" spans="2:13" x14ac:dyDescent="0.25">
      <c r="B744"/>
      <c r="C744"/>
      <c r="D744"/>
      <c r="E744"/>
      <c r="F744"/>
      <c r="G744"/>
      <c r="H744"/>
      <c r="I744"/>
      <c r="J744"/>
      <c r="K744"/>
      <c r="L744"/>
      <c r="M744"/>
    </row>
    <row r="745" spans="2:13" x14ac:dyDescent="0.25">
      <c r="B745"/>
      <c r="C745"/>
      <c r="D745"/>
      <c r="E745"/>
      <c r="F745"/>
      <c r="G745"/>
      <c r="H745"/>
      <c r="I745"/>
      <c r="J745"/>
      <c r="K745"/>
      <c r="L745"/>
      <c r="M745"/>
    </row>
    <row r="746" spans="2:13" x14ac:dyDescent="0.25">
      <c r="B746"/>
      <c r="C746"/>
      <c r="D746"/>
      <c r="E746"/>
      <c r="F746"/>
      <c r="G746"/>
      <c r="H746"/>
      <c r="I746"/>
      <c r="J746"/>
      <c r="K746"/>
      <c r="L746"/>
      <c r="M746"/>
    </row>
    <row r="747" spans="2:13" x14ac:dyDescent="0.25">
      <c r="B747"/>
      <c r="C747"/>
      <c r="D747"/>
      <c r="E747"/>
      <c r="F747"/>
      <c r="G747"/>
      <c r="H747"/>
      <c r="I747"/>
      <c r="J747"/>
      <c r="K747"/>
      <c r="L747"/>
      <c r="M747"/>
    </row>
    <row r="748" spans="2:13" x14ac:dyDescent="0.25">
      <c r="B748"/>
      <c r="C748"/>
      <c r="D748"/>
      <c r="E748"/>
      <c r="F748"/>
      <c r="G748"/>
      <c r="H748"/>
      <c r="I748"/>
      <c r="J748"/>
      <c r="K748"/>
      <c r="L748"/>
      <c r="M748"/>
    </row>
    <row r="749" spans="2:13" x14ac:dyDescent="0.25">
      <c r="B749"/>
      <c r="C749"/>
      <c r="D749"/>
      <c r="E749"/>
      <c r="F749"/>
      <c r="G749"/>
      <c r="H749"/>
      <c r="I749"/>
      <c r="J749"/>
      <c r="K749"/>
      <c r="L749"/>
      <c r="M749"/>
    </row>
    <row r="750" spans="2:13" x14ac:dyDescent="0.25">
      <c r="B750"/>
      <c r="C750"/>
      <c r="D750"/>
      <c r="E750"/>
      <c r="F750"/>
      <c r="G750"/>
      <c r="H750"/>
      <c r="I750"/>
      <c r="J750"/>
      <c r="K750"/>
      <c r="L750"/>
      <c r="M750"/>
    </row>
    <row r="751" spans="2:13" x14ac:dyDescent="0.25">
      <c r="B751"/>
      <c r="C751"/>
      <c r="D751"/>
      <c r="E751"/>
      <c r="F751"/>
      <c r="G751"/>
      <c r="H751"/>
      <c r="I751"/>
      <c r="J751"/>
      <c r="K751"/>
      <c r="L751"/>
      <c r="M751"/>
    </row>
    <row r="752" spans="2:13" x14ac:dyDescent="0.25">
      <c r="B752"/>
      <c r="C752"/>
      <c r="D752"/>
      <c r="E752"/>
      <c r="F752"/>
      <c r="G752"/>
      <c r="H752"/>
      <c r="I752"/>
      <c r="J752"/>
      <c r="K752"/>
      <c r="L752"/>
      <c r="M752"/>
    </row>
    <row r="753" spans="2:13" x14ac:dyDescent="0.25">
      <c r="B753"/>
      <c r="C753"/>
      <c r="D753"/>
      <c r="E753"/>
      <c r="F753"/>
      <c r="G753"/>
      <c r="H753"/>
      <c r="I753"/>
      <c r="J753"/>
      <c r="K753"/>
      <c r="L753"/>
      <c r="M753"/>
    </row>
    <row r="754" spans="2:13" x14ac:dyDescent="0.25">
      <c r="B754"/>
      <c r="C754"/>
      <c r="D754"/>
      <c r="E754"/>
      <c r="F754"/>
      <c r="G754"/>
      <c r="H754"/>
      <c r="I754"/>
      <c r="J754"/>
      <c r="K754"/>
      <c r="L754"/>
      <c r="M754"/>
    </row>
    <row r="755" spans="2:13" x14ac:dyDescent="0.25">
      <c r="B755"/>
      <c r="C755"/>
      <c r="D755"/>
      <c r="E755"/>
      <c r="F755"/>
      <c r="G755"/>
      <c r="H755"/>
      <c r="I755"/>
      <c r="J755"/>
      <c r="K755"/>
      <c r="L755"/>
      <c r="M755"/>
    </row>
    <row r="756" spans="2:13" x14ac:dyDescent="0.25">
      <c r="B756"/>
      <c r="C756"/>
      <c r="D756"/>
      <c r="E756"/>
      <c r="F756"/>
      <c r="G756"/>
      <c r="H756"/>
      <c r="I756"/>
      <c r="J756"/>
      <c r="K756"/>
      <c r="L756"/>
      <c r="M756"/>
    </row>
    <row r="757" spans="2:13" x14ac:dyDescent="0.25">
      <c r="B757"/>
      <c r="C757"/>
      <c r="D757"/>
      <c r="E757"/>
      <c r="F757"/>
      <c r="G757"/>
      <c r="H757"/>
      <c r="I757"/>
      <c r="J757"/>
      <c r="K757"/>
      <c r="L757"/>
      <c r="M757"/>
    </row>
    <row r="758" spans="2:13" x14ac:dyDescent="0.25">
      <c r="B758"/>
      <c r="C758"/>
      <c r="D758"/>
      <c r="E758"/>
      <c r="F758"/>
      <c r="G758"/>
      <c r="H758"/>
      <c r="I758"/>
      <c r="J758"/>
      <c r="K758"/>
      <c r="L758"/>
      <c r="M758"/>
    </row>
    <row r="759" spans="2:13" x14ac:dyDescent="0.25">
      <c r="B759"/>
      <c r="C759"/>
      <c r="D759"/>
      <c r="E759"/>
      <c r="F759"/>
      <c r="G759"/>
      <c r="H759"/>
      <c r="I759"/>
      <c r="J759"/>
      <c r="K759"/>
      <c r="L759"/>
      <c r="M759"/>
    </row>
    <row r="760" spans="2:13" x14ac:dyDescent="0.25">
      <c r="B760"/>
      <c r="C760"/>
      <c r="D760"/>
      <c r="E760"/>
      <c r="F760"/>
      <c r="G760"/>
      <c r="H760"/>
      <c r="I760"/>
      <c r="J760"/>
      <c r="K760"/>
      <c r="L760"/>
      <c r="M760"/>
    </row>
    <row r="761" spans="2:13" x14ac:dyDescent="0.25">
      <c r="B761"/>
      <c r="C761"/>
      <c r="D761"/>
      <c r="E761"/>
      <c r="F761"/>
      <c r="G761"/>
      <c r="H761"/>
      <c r="I761"/>
      <c r="J761"/>
      <c r="K761"/>
      <c r="L761"/>
      <c r="M761"/>
    </row>
    <row r="762" spans="2:13" x14ac:dyDescent="0.25">
      <c r="B762"/>
      <c r="C762"/>
      <c r="D762"/>
      <c r="E762"/>
      <c r="F762"/>
      <c r="G762"/>
      <c r="H762"/>
      <c r="I762"/>
      <c r="J762"/>
      <c r="K762"/>
      <c r="L762"/>
      <c r="M762"/>
    </row>
    <row r="763" spans="2:13" x14ac:dyDescent="0.25">
      <c r="B763"/>
      <c r="C763"/>
      <c r="D763"/>
      <c r="E763"/>
      <c r="F763"/>
      <c r="G763"/>
      <c r="H763"/>
      <c r="I763"/>
      <c r="J763"/>
      <c r="K763"/>
      <c r="L763"/>
      <c r="M763"/>
    </row>
    <row r="764" spans="2:13" x14ac:dyDescent="0.25">
      <c r="B764"/>
      <c r="C764"/>
      <c r="D764"/>
      <c r="E764"/>
      <c r="F764"/>
      <c r="G764"/>
      <c r="H764"/>
      <c r="I764"/>
      <c r="J764"/>
      <c r="K764"/>
      <c r="L764"/>
      <c r="M764"/>
    </row>
    <row r="765" spans="2:13" x14ac:dyDescent="0.25">
      <c r="B765"/>
      <c r="C765"/>
      <c r="D765"/>
      <c r="E765"/>
      <c r="F765"/>
      <c r="G765"/>
      <c r="H765"/>
      <c r="I765"/>
      <c r="J765"/>
      <c r="K765"/>
      <c r="L765"/>
      <c r="M765"/>
    </row>
    <row r="766" spans="2:13" x14ac:dyDescent="0.25">
      <c r="B766"/>
      <c r="C766"/>
      <c r="D766"/>
      <c r="E766"/>
      <c r="F766"/>
      <c r="G766"/>
      <c r="H766"/>
      <c r="I766"/>
      <c r="J766"/>
      <c r="K766"/>
      <c r="L766"/>
      <c r="M766"/>
    </row>
    <row r="767" spans="2:13" x14ac:dyDescent="0.25">
      <c r="B767"/>
      <c r="C767"/>
      <c r="D767"/>
      <c r="E767"/>
      <c r="F767"/>
      <c r="G767"/>
      <c r="H767"/>
      <c r="I767"/>
      <c r="J767"/>
      <c r="K767"/>
      <c r="L767"/>
      <c r="M767"/>
    </row>
    <row r="768" spans="2:13" x14ac:dyDescent="0.25">
      <c r="B768"/>
      <c r="C768"/>
      <c r="D768"/>
      <c r="E768"/>
      <c r="F768"/>
      <c r="G768"/>
      <c r="H768"/>
      <c r="I768"/>
      <c r="J768"/>
      <c r="K768"/>
      <c r="L768"/>
      <c r="M768"/>
    </row>
    <row r="769" spans="2:13" x14ac:dyDescent="0.25">
      <c r="B769"/>
      <c r="C769"/>
      <c r="D769"/>
      <c r="E769"/>
      <c r="F769"/>
      <c r="G769"/>
      <c r="H769"/>
      <c r="I769"/>
      <c r="J769"/>
      <c r="K769"/>
      <c r="L769"/>
      <c r="M769"/>
    </row>
    <row r="770" spans="2:13" x14ac:dyDescent="0.25">
      <c r="B770"/>
      <c r="C770"/>
      <c r="D770"/>
      <c r="E770"/>
      <c r="F770"/>
      <c r="G770"/>
      <c r="H770"/>
      <c r="I770"/>
      <c r="J770"/>
      <c r="K770"/>
      <c r="L770"/>
      <c r="M770"/>
    </row>
    <row r="771" spans="2:13" x14ac:dyDescent="0.25">
      <c r="B771"/>
      <c r="C771"/>
      <c r="D771"/>
      <c r="E771"/>
      <c r="F771"/>
      <c r="G771"/>
      <c r="H771"/>
      <c r="I771"/>
      <c r="J771"/>
      <c r="K771"/>
      <c r="L771"/>
      <c r="M771"/>
    </row>
    <row r="772" spans="2:13" x14ac:dyDescent="0.25">
      <c r="B772"/>
      <c r="C772"/>
      <c r="D772"/>
      <c r="E772"/>
      <c r="F772"/>
      <c r="G772"/>
      <c r="H772"/>
      <c r="I772"/>
      <c r="J772"/>
      <c r="K772"/>
      <c r="L772"/>
      <c r="M772"/>
    </row>
    <row r="773" spans="2:13" x14ac:dyDescent="0.25">
      <c r="B773"/>
      <c r="C773"/>
      <c r="D773"/>
      <c r="E773"/>
      <c r="F773"/>
      <c r="G773"/>
      <c r="H773"/>
      <c r="I773"/>
      <c r="J773"/>
      <c r="K773"/>
      <c r="L773"/>
      <c r="M773"/>
    </row>
    <row r="774" spans="2:13" x14ac:dyDescent="0.25">
      <c r="B774"/>
      <c r="C774"/>
      <c r="D774"/>
      <c r="E774"/>
      <c r="F774"/>
      <c r="G774"/>
      <c r="H774"/>
      <c r="I774"/>
      <c r="J774"/>
      <c r="K774"/>
      <c r="L774"/>
      <c r="M774"/>
    </row>
    <row r="775" spans="2:13" x14ac:dyDescent="0.25">
      <c r="B775"/>
      <c r="C775"/>
      <c r="D775"/>
      <c r="E775"/>
      <c r="F775"/>
      <c r="G775"/>
      <c r="H775"/>
      <c r="I775"/>
      <c r="J775"/>
      <c r="K775"/>
      <c r="L775"/>
      <c r="M775"/>
    </row>
    <row r="776" spans="2:13" x14ac:dyDescent="0.25">
      <c r="B776"/>
      <c r="C776"/>
      <c r="D776"/>
      <c r="E776"/>
      <c r="F776"/>
      <c r="G776"/>
      <c r="H776"/>
      <c r="I776"/>
      <c r="J776"/>
      <c r="K776"/>
      <c r="L776"/>
      <c r="M776"/>
    </row>
    <row r="777" spans="2:13" x14ac:dyDescent="0.25">
      <c r="B777"/>
      <c r="C777"/>
      <c r="D777"/>
      <c r="E777"/>
      <c r="F777"/>
      <c r="G777"/>
      <c r="H777"/>
      <c r="I777"/>
      <c r="J777"/>
      <c r="K777"/>
      <c r="L777"/>
      <c r="M777"/>
    </row>
    <row r="778" spans="2:13" x14ac:dyDescent="0.25">
      <c r="B778"/>
      <c r="C778"/>
      <c r="D778"/>
      <c r="E778"/>
      <c r="F778"/>
      <c r="G778"/>
      <c r="H778"/>
      <c r="I778"/>
      <c r="J778"/>
      <c r="K778"/>
      <c r="L778"/>
      <c r="M778"/>
    </row>
    <row r="779" spans="2:13" x14ac:dyDescent="0.25">
      <c r="B779"/>
      <c r="C779"/>
      <c r="D779"/>
      <c r="E779"/>
      <c r="F779"/>
      <c r="G779"/>
      <c r="H779"/>
      <c r="I779"/>
      <c r="J779"/>
      <c r="K779"/>
      <c r="L779"/>
      <c r="M779"/>
    </row>
    <row r="780" spans="2:13" x14ac:dyDescent="0.25">
      <c r="B780"/>
      <c r="C780"/>
      <c r="D780"/>
      <c r="E780"/>
      <c r="F780"/>
      <c r="G780"/>
      <c r="H780"/>
      <c r="I780"/>
      <c r="J780"/>
      <c r="K780"/>
      <c r="L780"/>
      <c r="M780"/>
    </row>
    <row r="781" spans="2:13" x14ac:dyDescent="0.25">
      <c r="B781"/>
      <c r="C781"/>
      <c r="D781"/>
      <c r="E781"/>
      <c r="F781"/>
      <c r="G781"/>
      <c r="H781"/>
      <c r="I781"/>
      <c r="J781"/>
      <c r="K781"/>
      <c r="L781"/>
      <c r="M781"/>
    </row>
    <row r="782" spans="2:13" x14ac:dyDescent="0.25">
      <c r="B782"/>
      <c r="C782"/>
      <c r="D782"/>
      <c r="E782"/>
      <c r="F782"/>
      <c r="G782"/>
      <c r="H782"/>
      <c r="I782"/>
      <c r="J782"/>
      <c r="K782"/>
      <c r="L782"/>
      <c r="M782"/>
    </row>
    <row r="783" spans="2:13" x14ac:dyDescent="0.25">
      <c r="B783"/>
      <c r="C783"/>
      <c r="D783"/>
      <c r="E783"/>
      <c r="F783"/>
      <c r="G783"/>
      <c r="H783"/>
      <c r="I783"/>
      <c r="J783"/>
      <c r="K783"/>
      <c r="L783"/>
      <c r="M783"/>
    </row>
    <row r="784" spans="2:13" x14ac:dyDescent="0.25">
      <c r="B784"/>
      <c r="C784"/>
      <c r="D784"/>
      <c r="E784"/>
      <c r="F784"/>
      <c r="G784"/>
      <c r="H784"/>
      <c r="I784"/>
      <c r="J784"/>
      <c r="K784"/>
      <c r="L784"/>
      <c r="M784"/>
    </row>
    <row r="785" spans="2:13" x14ac:dyDescent="0.25">
      <c r="B785"/>
      <c r="C785"/>
      <c r="D785"/>
      <c r="E785"/>
      <c r="F785"/>
      <c r="G785"/>
      <c r="H785"/>
      <c r="I785"/>
      <c r="J785"/>
      <c r="K785"/>
      <c r="L785"/>
      <c r="M785"/>
    </row>
    <row r="786" spans="2:13" x14ac:dyDescent="0.25">
      <c r="B786"/>
      <c r="C786"/>
      <c r="D786"/>
      <c r="E786"/>
      <c r="F786"/>
      <c r="G786"/>
      <c r="H786"/>
      <c r="I786"/>
      <c r="J786"/>
      <c r="K786"/>
      <c r="L786"/>
      <c r="M786"/>
    </row>
    <row r="787" spans="2:13" x14ac:dyDescent="0.25">
      <c r="B787"/>
      <c r="C787"/>
      <c r="D787"/>
      <c r="E787"/>
      <c r="F787"/>
      <c r="G787"/>
      <c r="H787"/>
      <c r="I787"/>
      <c r="J787"/>
      <c r="K787"/>
      <c r="L787"/>
      <c r="M787"/>
    </row>
    <row r="788" spans="2:13" x14ac:dyDescent="0.25">
      <c r="B788"/>
      <c r="C788"/>
      <c r="D788"/>
      <c r="E788"/>
      <c r="F788"/>
      <c r="G788"/>
      <c r="H788"/>
      <c r="I788"/>
      <c r="J788"/>
      <c r="K788"/>
      <c r="L788"/>
      <c r="M788"/>
    </row>
    <row r="789" spans="2:13" x14ac:dyDescent="0.25">
      <c r="B789"/>
      <c r="C789"/>
      <c r="D789"/>
      <c r="E789"/>
      <c r="F789"/>
      <c r="G789"/>
      <c r="H789"/>
      <c r="I789"/>
      <c r="J789"/>
      <c r="K789"/>
      <c r="L789"/>
      <c r="M789"/>
    </row>
    <row r="790" spans="2:13" x14ac:dyDescent="0.25">
      <c r="B790"/>
      <c r="C790"/>
      <c r="D790"/>
      <c r="E790"/>
      <c r="F790"/>
      <c r="G790"/>
      <c r="H790"/>
      <c r="I790"/>
      <c r="J790"/>
      <c r="K790"/>
      <c r="L790"/>
      <c r="M790"/>
    </row>
    <row r="791" spans="2:13" x14ac:dyDescent="0.25">
      <c r="B791"/>
      <c r="C791"/>
      <c r="D791"/>
      <c r="E791"/>
      <c r="F791"/>
      <c r="G791"/>
      <c r="H791"/>
      <c r="I791"/>
      <c r="J791"/>
      <c r="K791"/>
      <c r="L791"/>
      <c r="M791"/>
    </row>
    <row r="792" spans="2:13" x14ac:dyDescent="0.25">
      <c r="B792"/>
      <c r="C792"/>
      <c r="D792"/>
      <c r="E792"/>
      <c r="F792"/>
      <c r="G792"/>
      <c r="H792"/>
      <c r="I792"/>
      <c r="J792"/>
      <c r="K792"/>
      <c r="L792"/>
      <c r="M792"/>
    </row>
    <row r="793" spans="2:13" x14ac:dyDescent="0.25">
      <c r="B793"/>
      <c r="C793"/>
      <c r="D793"/>
      <c r="E793"/>
      <c r="F793"/>
      <c r="G793"/>
      <c r="H793"/>
      <c r="I793"/>
      <c r="J793"/>
      <c r="K793"/>
      <c r="L793"/>
      <c r="M793"/>
    </row>
    <row r="794" spans="2:13" x14ac:dyDescent="0.25">
      <c r="B794"/>
      <c r="C794"/>
      <c r="D794"/>
      <c r="E794"/>
      <c r="F794"/>
      <c r="G794"/>
      <c r="H794"/>
      <c r="I794"/>
      <c r="J794"/>
      <c r="K794"/>
      <c r="L794"/>
      <c r="M794"/>
    </row>
    <row r="795" spans="2:13" x14ac:dyDescent="0.25">
      <c r="B795"/>
      <c r="C795"/>
      <c r="D795"/>
      <c r="E795"/>
      <c r="F795"/>
      <c r="G795"/>
      <c r="H795"/>
      <c r="I795"/>
      <c r="J795"/>
      <c r="K795"/>
      <c r="L795"/>
      <c r="M795"/>
    </row>
    <row r="796" spans="2:13" x14ac:dyDescent="0.25">
      <c r="B796"/>
      <c r="C796"/>
      <c r="D796"/>
      <c r="E796"/>
      <c r="F796"/>
      <c r="G796"/>
      <c r="H796"/>
      <c r="I796"/>
      <c r="J796"/>
      <c r="K796"/>
      <c r="L796"/>
      <c r="M796"/>
    </row>
    <row r="797" spans="2:13" x14ac:dyDescent="0.25">
      <c r="B797"/>
      <c r="C797"/>
      <c r="D797"/>
      <c r="E797"/>
      <c r="F797"/>
      <c r="G797"/>
      <c r="H797"/>
      <c r="I797"/>
      <c r="J797"/>
      <c r="K797"/>
      <c r="L797"/>
      <c r="M797"/>
    </row>
    <row r="798" spans="2:13" x14ac:dyDescent="0.25">
      <c r="B798"/>
      <c r="C798"/>
      <c r="D798"/>
      <c r="E798"/>
      <c r="F798"/>
      <c r="G798"/>
      <c r="H798"/>
      <c r="I798"/>
      <c r="J798"/>
      <c r="K798"/>
      <c r="L798"/>
      <c r="M798"/>
    </row>
    <row r="799" spans="2:13" x14ac:dyDescent="0.25">
      <c r="B799"/>
      <c r="C799"/>
      <c r="D799"/>
      <c r="E799"/>
      <c r="F799"/>
      <c r="G799"/>
      <c r="H799"/>
      <c r="I799"/>
      <c r="J799"/>
      <c r="K799"/>
      <c r="L799"/>
      <c r="M799"/>
    </row>
    <row r="800" spans="2:13" x14ac:dyDescent="0.25">
      <c r="B800"/>
      <c r="C800"/>
      <c r="D800"/>
      <c r="E800"/>
      <c r="F800"/>
      <c r="G800"/>
      <c r="H800"/>
      <c r="I800"/>
      <c r="J800"/>
      <c r="K800"/>
      <c r="L800"/>
      <c r="M800"/>
    </row>
    <row r="801" spans="2:13" x14ac:dyDescent="0.25">
      <c r="B801"/>
      <c r="C801"/>
      <c r="D801"/>
      <c r="E801"/>
      <c r="F801"/>
      <c r="G801"/>
      <c r="H801"/>
      <c r="I801"/>
      <c r="J801"/>
      <c r="K801"/>
      <c r="L801"/>
      <c r="M801"/>
    </row>
    <row r="802" spans="2:13" x14ac:dyDescent="0.25">
      <c r="B802"/>
      <c r="C802"/>
      <c r="D802"/>
      <c r="E802"/>
      <c r="F802"/>
      <c r="G802"/>
      <c r="H802"/>
      <c r="I802"/>
      <c r="J802"/>
      <c r="K802"/>
      <c r="L802"/>
      <c r="M802"/>
    </row>
    <row r="803" spans="2:13" x14ac:dyDescent="0.25">
      <c r="B803"/>
      <c r="C803"/>
      <c r="D803"/>
      <c r="E803"/>
      <c r="F803"/>
      <c r="G803"/>
      <c r="H803"/>
      <c r="I803"/>
      <c r="J803"/>
      <c r="K803"/>
      <c r="L803"/>
      <c r="M803"/>
    </row>
    <row r="804" spans="2:13" x14ac:dyDescent="0.25">
      <c r="B804"/>
      <c r="C804"/>
      <c r="D804"/>
      <c r="E804"/>
      <c r="F804"/>
      <c r="G804"/>
      <c r="H804"/>
      <c r="I804"/>
      <c r="J804"/>
      <c r="K804"/>
      <c r="L804"/>
      <c r="M804"/>
    </row>
    <row r="805" spans="2:13" x14ac:dyDescent="0.25">
      <c r="B805"/>
      <c r="C805"/>
      <c r="D805"/>
      <c r="E805"/>
      <c r="F805"/>
      <c r="G805"/>
      <c r="H805"/>
      <c r="I805"/>
      <c r="J805"/>
      <c r="K805"/>
      <c r="L805"/>
      <c r="M805"/>
    </row>
    <row r="806" spans="2:13" x14ac:dyDescent="0.25">
      <c r="B806"/>
      <c r="C806"/>
      <c r="D806"/>
      <c r="E806"/>
      <c r="F806"/>
      <c r="G806"/>
      <c r="H806"/>
      <c r="I806"/>
      <c r="J806"/>
      <c r="K806"/>
      <c r="L806"/>
      <c r="M806"/>
    </row>
    <row r="807" spans="2:13" x14ac:dyDescent="0.25">
      <c r="B807"/>
      <c r="C807"/>
      <c r="D807"/>
      <c r="E807"/>
      <c r="F807"/>
      <c r="G807"/>
      <c r="H807"/>
      <c r="I807"/>
      <c r="J807"/>
      <c r="K807"/>
      <c r="L807"/>
      <c r="M807"/>
    </row>
    <row r="808" spans="2:13" x14ac:dyDescent="0.25">
      <c r="B808"/>
      <c r="C808"/>
      <c r="D808"/>
      <c r="E808"/>
      <c r="F808"/>
      <c r="G808"/>
      <c r="H808"/>
      <c r="I808"/>
      <c r="J808"/>
      <c r="K808"/>
      <c r="L808"/>
      <c r="M808"/>
    </row>
    <row r="809" spans="2:13" x14ac:dyDescent="0.25">
      <c r="B809"/>
      <c r="C809"/>
      <c r="D809"/>
      <c r="E809"/>
      <c r="F809"/>
      <c r="G809"/>
      <c r="H809"/>
      <c r="I809"/>
      <c r="J809"/>
      <c r="K809"/>
      <c r="L809"/>
      <c r="M809"/>
    </row>
    <row r="810" spans="2:13" x14ac:dyDescent="0.25">
      <c r="B810"/>
      <c r="C810"/>
      <c r="D810"/>
      <c r="E810"/>
      <c r="F810"/>
      <c r="G810"/>
      <c r="H810"/>
      <c r="I810"/>
      <c r="J810"/>
      <c r="K810"/>
      <c r="L810"/>
      <c r="M810"/>
    </row>
    <row r="811" spans="2:13" x14ac:dyDescent="0.25">
      <c r="B811"/>
      <c r="C811"/>
      <c r="D811"/>
      <c r="E811"/>
      <c r="F811"/>
      <c r="G811"/>
      <c r="H811"/>
      <c r="I811"/>
      <c r="J811"/>
      <c r="K811"/>
      <c r="L811"/>
      <c r="M811"/>
    </row>
    <row r="812" spans="2:13" x14ac:dyDescent="0.25">
      <c r="B812"/>
      <c r="C812"/>
      <c r="D812"/>
      <c r="E812"/>
      <c r="F812"/>
      <c r="G812"/>
      <c r="H812"/>
      <c r="I812"/>
      <c r="J812"/>
      <c r="K812"/>
      <c r="L812"/>
      <c r="M812"/>
    </row>
    <row r="813" spans="2:13" x14ac:dyDescent="0.25">
      <c r="B813"/>
      <c r="C813"/>
      <c r="D813"/>
      <c r="E813"/>
      <c r="F813"/>
      <c r="G813"/>
      <c r="H813"/>
      <c r="I813"/>
      <c r="J813"/>
      <c r="K813"/>
      <c r="L813"/>
      <c r="M813"/>
    </row>
    <row r="814" spans="2:13" x14ac:dyDescent="0.25">
      <c r="B814"/>
      <c r="C814"/>
      <c r="D814"/>
      <c r="E814"/>
      <c r="F814"/>
      <c r="G814"/>
      <c r="H814"/>
      <c r="I814"/>
      <c r="J814"/>
      <c r="K814"/>
      <c r="L814"/>
      <c r="M814"/>
    </row>
    <row r="815" spans="2:13" x14ac:dyDescent="0.25">
      <c r="B815"/>
      <c r="C815"/>
      <c r="D815"/>
      <c r="E815"/>
      <c r="F815"/>
      <c r="G815"/>
      <c r="H815"/>
      <c r="I815"/>
      <c r="J815"/>
      <c r="K815"/>
      <c r="L815"/>
      <c r="M815"/>
    </row>
    <row r="816" spans="2:13" x14ac:dyDescent="0.25">
      <c r="B816"/>
      <c r="C816"/>
      <c r="D816"/>
      <c r="E816"/>
      <c r="F816"/>
      <c r="G816"/>
      <c r="H816"/>
      <c r="I816"/>
      <c r="J816"/>
      <c r="K816"/>
      <c r="L816"/>
      <c r="M816"/>
    </row>
    <row r="817" spans="2:13" x14ac:dyDescent="0.25">
      <c r="B817"/>
      <c r="C817"/>
      <c r="D817"/>
      <c r="E817"/>
      <c r="F817"/>
      <c r="G817"/>
      <c r="H817"/>
      <c r="I817"/>
      <c r="J817"/>
      <c r="K817"/>
      <c r="L817"/>
      <c r="M817"/>
    </row>
    <row r="818" spans="2:13" x14ac:dyDescent="0.25">
      <c r="B818"/>
      <c r="C818"/>
      <c r="D818"/>
      <c r="E818"/>
      <c r="F818"/>
      <c r="G818"/>
      <c r="H818"/>
      <c r="I818"/>
      <c r="J818"/>
      <c r="K818"/>
      <c r="L818"/>
      <c r="M818"/>
    </row>
    <row r="819" spans="2:13" x14ac:dyDescent="0.25">
      <c r="B819"/>
      <c r="C819"/>
      <c r="D819"/>
      <c r="E819"/>
      <c r="F819"/>
      <c r="G819"/>
      <c r="H819"/>
      <c r="I819"/>
      <c r="J819"/>
      <c r="K819"/>
      <c r="L819"/>
      <c r="M819"/>
    </row>
    <row r="820" spans="2:13" x14ac:dyDescent="0.25">
      <c r="B820"/>
      <c r="C820"/>
      <c r="D820"/>
      <c r="E820"/>
      <c r="F820"/>
      <c r="G820"/>
      <c r="H820"/>
      <c r="I820"/>
      <c r="J820"/>
      <c r="K820"/>
      <c r="L820"/>
      <c r="M820"/>
    </row>
    <row r="821" spans="2:13" x14ac:dyDescent="0.25">
      <c r="B821"/>
      <c r="C821"/>
      <c r="D821"/>
      <c r="E821"/>
      <c r="F821"/>
      <c r="G821"/>
      <c r="H821"/>
      <c r="I821"/>
      <c r="J821"/>
      <c r="K821"/>
      <c r="L821"/>
      <c r="M821"/>
    </row>
    <row r="822" spans="2:13" x14ac:dyDescent="0.25">
      <c r="B822"/>
      <c r="C822"/>
      <c r="D822"/>
      <c r="E822"/>
      <c r="F822"/>
      <c r="G822"/>
      <c r="H822"/>
      <c r="I822"/>
      <c r="J822"/>
      <c r="K822"/>
      <c r="L822"/>
      <c r="M822"/>
    </row>
    <row r="823" spans="2:13" x14ac:dyDescent="0.25">
      <c r="B823"/>
      <c r="C823"/>
      <c r="D823"/>
      <c r="E823"/>
      <c r="F823"/>
      <c r="G823"/>
      <c r="H823"/>
      <c r="I823"/>
      <c r="J823"/>
      <c r="K823"/>
      <c r="L823"/>
      <c r="M823"/>
    </row>
    <row r="824" spans="2:13" x14ac:dyDescent="0.25">
      <c r="B824"/>
      <c r="C824"/>
      <c r="D824"/>
      <c r="E824"/>
      <c r="F824"/>
      <c r="G824"/>
      <c r="H824"/>
      <c r="I824"/>
      <c r="J824"/>
      <c r="K824"/>
      <c r="L824"/>
      <c r="M824"/>
    </row>
    <row r="825" spans="2:13" x14ac:dyDescent="0.25">
      <c r="B825"/>
      <c r="C825"/>
      <c r="D825"/>
      <c r="E825"/>
      <c r="F825"/>
      <c r="G825"/>
      <c r="H825"/>
      <c r="I825"/>
      <c r="J825"/>
      <c r="K825"/>
      <c r="L825"/>
      <c r="M825"/>
    </row>
    <row r="826" spans="2:13" x14ac:dyDescent="0.25">
      <c r="B826"/>
      <c r="C826"/>
      <c r="D826"/>
      <c r="E826"/>
      <c r="F826"/>
      <c r="G826"/>
      <c r="H826"/>
      <c r="I826"/>
      <c r="J826"/>
      <c r="K826"/>
      <c r="L826"/>
      <c r="M826"/>
    </row>
    <row r="827" spans="2:13" x14ac:dyDescent="0.25">
      <c r="B827"/>
      <c r="C827"/>
      <c r="D827"/>
      <c r="E827"/>
      <c r="F827"/>
      <c r="G827"/>
      <c r="H827"/>
      <c r="I827"/>
      <c r="J827"/>
      <c r="K827"/>
      <c r="L827"/>
      <c r="M827"/>
    </row>
    <row r="828" spans="2:13" x14ac:dyDescent="0.25">
      <c r="B828"/>
      <c r="C828"/>
      <c r="D828"/>
      <c r="E828"/>
      <c r="F828"/>
      <c r="G828"/>
      <c r="H828"/>
      <c r="I828"/>
      <c r="J828"/>
      <c r="K828"/>
      <c r="L828"/>
      <c r="M828"/>
    </row>
    <row r="829" spans="2:13" x14ac:dyDescent="0.25">
      <c r="B829"/>
      <c r="C829"/>
      <c r="D829"/>
      <c r="E829"/>
      <c r="F829"/>
      <c r="G829"/>
      <c r="H829"/>
      <c r="I829"/>
      <c r="J829"/>
      <c r="K829"/>
      <c r="L829"/>
      <c r="M829"/>
    </row>
    <row r="830" spans="2:13" x14ac:dyDescent="0.25">
      <c r="B830"/>
      <c r="C830"/>
      <c r="D830"/>
      <c r="E830"/>
      <c r="F830"/>
      <c r="G830"/>
      <c r="H830"/>
      <c r="I830"/>
      <c r="J830"/>
      <c r="K830"/>
      <c r="L830"/>
      <c r="M830"/>
    </row>
    <row r="831" spans="2:13" x14ac:dyDescent="0.25">
      <c r="B831"/>
      <c r="C831"/>
      <c r="D831"/>
      <c r="E831"/>
      <c r="F831"/>
      <c r="G831"/>
      <c r="H831"/>
      <c r="I831"/>
      <c r="J831"/>
      <c r="K831"/>
      <c r="L831"/>
      <c r="M831"/>
    </row>
    <row r="832" spans="2:13" x14ac:dyDescent="0.25">
      <c r="B832"/>
      <c r="C832"/>
      <c r="D832"/>
      <c r="E832"/>
      <c r="F832"/>
      <c r="G832"/>
      <c r="H832"/>
      <c r="I832"/>
      <c r="J832"/>
      <c r="K832"/>
      <c r="L832"/>
      <c r="M832"/>
    </row>
    <row r="833" spans="2:13" x14ac:dyDescent="0.25">
      <c r="B833"/>
      <c r="C833"/>
      <c r="D833"/>
      <c r="E833"/>
      <c r="F833"/>
      <c r="G833"/>
      <c r="H833"/>
      <c r="I833"/>
      <c r="J833"/>
      <c r="K833"/>
      <c r="L833"/>
      <c r="M833"/>
    </row>
    <row r="834" spans="2:13" x14ac:dyDescent="0.25">
      <c r="B834"/>
      <c r="C834"/>
      <c r="D834"/>
      <c r="E834"/>
      <c r="F834"/>
      <c r="G834"/>
      <c r="H834"/>
      <c r="I834"/>
      <c r="J834"/>
      <c r="K834"/>
      <c r="L834"/>
      <c r="M834"/>
    </row>
    <row r="835" spans="2:13" x14ac:dyDescent="0.25">
      <c r="B835"/>
      <c r="C835"/>
      <c r="D835"/>
      <c r="E835"/>
      <c r="F835"/>
      <c r="G835"/>
      <c r="H835"/>
      <c r="I835"/>
      <c r="J835"/>
      <c r="K835"/>
      <c r="L835"/>
      <c r="M835"/>
    </row>
    <row r="836" spans="2:13" x14ac:dyDescent="0.25">
      <c r="B836"/>
      <c r="C836"/>
      <c r="D836"/>
      <c r="E836"/>
      <c r="F836"/>
      <c r="G836"/>
      <c r="H836"/>
      <c r="I836"/>
      <c r="J836"/>
      <c r="K836"/>
      <c r="L836"/>
      <c r="M836"/>
    </row>
    <row r="837" spans="2:13" x14ac:dyDescent="0.25">
      <c r="B837"/>
      <c r="C837"/>
      <c r="D837"/>
      <c r="E837"/>
      <c r="F837"/>
      <c r="G837"/>
      <c r="H837"/>
      <c r="I837"/>
      <c r="J837"/>
      <c r="K837"/>
      <c r="L837"/>
      <c r="M837"/>
    </row>
    <row r="838" spans="2:13" x14ac:dyDescent="0.25">
      <c r="B838"/>
      <c r="C838"/>
      <c r="D838"/>
      <c r="E838"/>
      <c r="F838"/>
      <c r="G838"/>
      <c r="H838"/>
      <c r="I838"/>
      <c r="J838"/>
      <c r="K838"/>
      <c r="L838"/>
      <c r="M838"/>
    </row>
    <row r="839" spans="2:13" x14ac:dyDescent="0.25">
      <c r="B839"/>
      <c r="C839"/>
      <c r="D839"/>
      <c r="E839"/>
      <c r="F839"/>
      <c r="G839"/>
      <c r="H839"/>
      <c r="I839"/>
      <c r="J839"/>
      <c r="K839"/>
      <c r="L839"/>
      <c r="M839"/>
    </row>
    <row r="840" spans="2:13" x14ac:dyDescent="0.25">
      <c r="B840"/>
      <c r="C840"/>
      <c r="D840"/>
      <c r="E840"/>
      <c r="F840"/>
      <c r="G840"/>
      <c r="H840"/>
      <c r="I840"/>
      <c r="J840"/>
      <c r="K840"/>
      <c r="L840"/>
      <c r="M840"/>
    </row>
    <row r="841" spans="2:13" x14ac:dyDescent="0.25">
      <c r="B841"/>
      <c r="C841"/>
      <c r="D841"/>
      <c r="E841"/>
      <c r="F841"/>
      <c r="G841"/>
      <c r="H841"/>
      <c r="I841"/>
      <c r="J841"/>
      <c r="K841"/>
      <c r="L841"/>
      <c r="M841"/>
    </row>
    <row r="842" spans="2:13" x14ac:dyDescent="0.25">
      <c r="B842"/>
      <c r="C842"/>
      <c r="D842"/>
      <c r="E842"/>
      <c r="F842"/>
      <c r="G842"/>
      <c r="H842"/>
      <c r="I842"/>
      <c r="J842"/>
      <c r="K842"/>
      <c r="L842"/>
      <c r="M842"/>
    </row>
    <row r="843" spans="2:13" x14ac:dyDescent="0.25">
      <c r="B843"/>
      <c r="C843"/>
      <c r="D843"/>
      <c r="E843"/>
      <c r="F843"/>
      <c r="G843"/>
      <c r="H843"/>
      <c r="I843"/>
      <c r="J843"/>
      <c r="K843"/>
      <c r="L843"/>
      <c r="M843"/>
    </row>
    <row r="844" spans="2:13" x14ac:dyDescent="0.25">
      <c r="B844"/>
      <c r="C844"/>
      <c r="D844"/>
      <c r="E844"/>
      <c r="F844"/>
      <c r="G844"/>
      <c r="H844"/>
      <c r="I844"/>
      <c r="J844"/>
      <c r="K844"/>
      <c r="L844"/>
      <c r="M844"/>
    </row>
    <row r="845" spans="2:13" x14ac:dyDescent="0.25">
      <c r="B845"/>
      <c r="C845"/>
      <c r="D845"/>
      <c r="E845"/>
      <c r="F845"/>
      <c r="G845"/>
      <c r="H845"/>
      <c r="I845"/>
      <c r="J845"/>
      <c r="K845"/>
      <c r="L845"/>
      <c r="M845"/>
    </row>
    <row r="846" spans="2:13" x14ac:dyDescent="0.25">
      <c r="B846"/>
      <c r="C846"/>
      <c r="D846"/>
      <c r="E846"/>
      <c r="F846"/>
      <c r="G846"/>
      <c r="H846"/>
      <c r="I846"/>
      <c r="J846"/>
      <c r="K846"/>
      <c r="L846"/>
      <c r="M846"/>
    </row>
    <row r="847" spans="2:13" x14ac:dyDescent="0.25">
      <c r="B847"/>
      <c r="C847"/>
      <c r="D847"/>
      <c r="E847"/>
      <c r="F847"/>
      <c r="G847"/>
      <c r="H847"/>
      <c r="I847"/>
      <c r="J847"/>
      <c r="K847"/>
      <c r="L847"/>
      <c r="M847"/>
    </row>
    <row r="848" spans="2:13" x14ac:dyDescent="0.25">
      <c r="B848"/>
      <c r="C848"/>
      <c r="D848"/>
      <c r="E848"/>
      <c r="F848"/>
      <c r="G848"/>
      <c r="H848"/>
      <c r="I848"/>
      <c r="J848"/>
      <c r="K848"/>
      <c r="L848"/>
      <c r="M848"/>
    </row>
    <row r="849" spans="2:13" x14ac:dyDescent="0.25">
      <c r="B849"/>
      <c r="C849"/>
      <c r="D849"/>
      <c r="E849"/>
      <c r="F849"/>
      <c r="G849"/>
      <c r="H849"/>
      <c r="I849"/>
      <c r="J849"/>
      <c r="K849"/>
      <c r="L849"/>
      <c r="M849"/>
    </row>
    <row r="850" spans="2:13" x14ac:dyDescent="0.25">
      <c r="B850"/>
      <c r="C850"/>
      <c r="D850"/>
      <c r="E850"/>
      <c r="F850"/>
      <c r="G850"/>
      <c r="H850"/>
      <c r="I850"/>
      <c r="J850"/>
      <c r="K850"/>
      <c r="L850"/>
      <c r="M850"/>
    </row>
    <row r="851" spans="2:13" x14ac:dyDescent="0.25">
      <c r="B851"/>
      <c r="C851"/>
      <c r="D851"/>
      <c r="E851"/>
      <c r="F851"/>
      <c r="G851"/>
      <c r="H851"/>
      <c r="I851"/>
      <c r="J851"/>
      <c r="K851"/>
      <c r="L851"/>
      <c r="M851"/>
    </row>
    <row r="852" spans="2:13" x14ac:dyDescent="0.25">
      <c r="B852"/>
      <c r="C852"/>
      <c r="D852"/>
      <c r="E852"/>
      <c r="F852"/>
      <c r="G852"/>
      <c r="H852"/>
      <c r="I852"/>
      <c r="J852"/>
      <c r="K852"/>
      <c r="L852"/>
      <c r="M852"/>
    </row>
    <row r="853" spans="2:13" x14ac:dyDescent="0.25">
      <c r="B853"/>
      <c r="C853"/>
      <c r="D853"/>
      <c r="E853"/>
      <c r="F853"/>
      <c r="G853"/>
      <c r="H853"/>
      <c r="I853"/>
      <c r="J853"/>
      <c r="K853"/>
      <c r="L853"/>
      <c r="M853"/>
    </row>
    <row r="854" spans="2:13" x14ac:dyDescent="0.25">
      <c r="B854"/>
      <c r="C854"/>
      <c r="D854"/>
      <c r="E854"/>
      <c r="F854"/>
      <c r="G854"/>
      <c r="H854"/>
      <c r="I854"/>
      <c r="J854"/>
      <c r="K854"/>
      <c r="L854"/>
      <c r="M854"/>
    </row>
    <row r="855" spans="2:13" x14ac:dyDescent="0.25">
      <c r="B855"/>
      <c r="C855"/>
      <c r="D855"/>
      <c r="E855"/>
      <c r="F855"/>
      <c r="G855"/>
      <c r="H855"/>
      <c r="I855"/>
      <c r="J855"/>
      <c r="K855"/>
      <c r="L855"/>
      <c r="M855"/>
    </row>
    <row r="856" spans="2:13" x14ac:dyDescent="0.25">
      <c r="B856"/>
      <c r="C856"/>
      <c r="D856"/>
      <c r="E856"/>
      <c r="F856"/>
      <c r="G856"/>
      <c r="H856"/>
      <c r="I856"/>
      <c r="J856"/>
      <c r="K856"/>
      <c r="L856"/>
      <c r="M856"/>
    </row>
    <row r="857" spans="2:13" x14ac:dyDescent="0.25">
      <c r="B857"/>
      <c r="C857"/>
      <c r="D857"/>
      <c r="E857"/>
      <c r="F857"/>
      <c r="G857"/>
      <c r="H857"/>
      <c r="I857"/>
      <c r="J857"/>
      <c r="K857"/>
      <c r="L857"/>
      <c r="M857"/>
    </row>
    <row r="858" spans="2:13" x14ac:dyDescent="0.25">
      <c r="B858"/>
      <c r="C858"/>
      <c r="D858"/>
      <c r="E858"/>
      <c r="F858"/>
      <c r="G858"/>
      <c r="H858"/>
      <c r="I858"/>
      <c r="J858"/>
      <c r="K858"/>
      <c r="L858"/>
      <c r="M858"/>
    </row>
    <row r="859" spans="2:13" x14ac:dyDescent="0.25">
      <c r="B859"/>
      <c r="C859"/>
      <c r="D859"/>
      <c r="E859"/>
      <c r="F859"/>
      <c r="G859"/>
      <c r="H859"/>
      <c r="I859"/>
      <c r="J859"/>
      <c r="K859"/>
      <c r="L859"/>
      <c r="M859"/>
    </row>
    <row r="860" spans="2:13" x14ac:dyDescent="0.25">
      <c r="B860"/>
      <c r="C860"/>
      <c r="D860"/>
      <c r="E860"/>
      <c r="F860"/>
      <c r="G860"/>
      <c r="H860"/>
      <c r="I860"/>
      <c r="J860"/>
      <c r="K860"/>
      <c r="L860"/>
      <c r="M860"/>
    </row>
    <row r="861" spans="2:13" x14ac:dyDescent="0.25">
      <c r="B861"/>
      <c r="C861"/>
      <c r="D861"/>
      <c r="E861"/>
      <c r="F861"/>
      <c r="G861"/>
      <c r="H861"/>
      <c r="I861"/>
      <c r="J861"/>
      <c r="K861"/>
      <c r="L861"/>
      <c r="M861"/>
    </row>
    <row r="862" spans="2:13" x14ac:dyDescent="0.25">
      <c r="B862"/>
      <c r="C862"/>
      <c r="D862"/>
      <c r="E862"/>
      <c r="F862"/>
      <c r="G862"/>
      <c r="H862"/>
      <c r="I862"/>
      <c r="J862"/>
      <c r="K862"/>
      <c r="L862"/>
      <c r="M862"/>
    </row>
    <row r="863" spans="2:13" x14ac:dyDescent="0.25">
      <c r="B863"/>
      <c r="C863"/>
      <c r="D863"/>
      <c r="E863"/>
      <c r="F863"/>
      <c r="G863"/>
      <c r="H863"/>
      <c r="I863"/>
      <c r="J863"/>
      <c r="K863"/>
      <c r="L863"/>
      <c r="M863"/>
    </row>
    <row r="864" spans="2:13" x14ac:dyDescent="0.25">
      <c r="B864"/>
      <c r="C864"/>
      <c r="D864"/>
      <c r="E864"/>
      <c r="F864"/>
      <c r="G864"/>
      <c r="H864"/>
      <c r="I864"/>
      <c r="J864"/>
      <c r="K864"/>
      <c r="L864"/>
      <c r="M864"/>
    </row>
    <row r="865" spans="2:13" x14ac:dyDescent="0.25">
      <c r="B865"/>
      <c r="C865"/>
      <c r="D865"/>
      <c r="E865"/>
      <c r="F865"/>
      <c r="G865"/>
      <c r="H865"/>
      <c r="I865"/>
      <c r="J865"/>
      <c r="K865"/>
      <c r="L865"/>
      <c r="M865"/>
    </row>
    <row r="866" spans="2:13" x14ac:dyDescent="0.25">
      <c r="B866"/>
      <c r="C866"/>
      <c r="D866"/>
      <c r="E866"/>
      <c r="F866"/>
      <c r="G866"/>
      <c r="H866"/>
      <c r="I866"/>
      <c r="J866"/>
      <c r="K866"/>
      <c r="L866"/>
      <c r="M866"/>
    </row>
    <row r="867" spans="2:13" x14ac:dyDescent="0.25">
      <c r="B867"/>
      <c r="C867"/>
      <c r="D867"/>
      <c r="E867"/>
      <c r="F867"/>
      <c r="G867"/>
      <c r="H867"/>
      <c r="I867"/>
      <c r="J867"/>
      <c r="K867"/>
      <c r="L867"/>
      <c r="M867"/>
    </row>
    <row r="868" spans="2:13" x14ac:dyDescent="0.25">
      <c r="B868"/>
      <c r="C868"/>
      <c r="D868"/>
      <c r="E868"/>
      <c r="F868"/>
      <c r="G868"/>
      <c r="H868"/>
      <c r="I868"/>
      <c r="J868"/>
      <c r="K868"/>
      <c r="L868"/>
      <c r="M868"/>
    </row>
    <row r="869" spans="2:13" x14ac:dyDescent="0.25">
      <c r="B869"/>
      <c r="C869"/>
      <c r="D869"/>
      <c r="E869"/>
      <c r="F869"/>
      <c r="G869"/>
      <c r="H869"/>
      <c r="I869"/>
      <c r="J869"/>
      <c r="K869"/>
      <c r="L869"/>
      <c r="M869"/>
    </row>
    <row r="870" spans="2:13" x14ac:dyDescent="0.25">
      <c r="B870"/>
      <c r="C870"/>
      <c r="D870"/>
      <c r="E870"/>
      <c r="F870"/>
      <c r="G870"/>
      <c r="H870"/>
      <c r="I870"/>
      <c r="J870"/>
      <c r="K870"/>
      <c r="L870"/>
      <c r="M870"/>
    </row>
    <row r="871" spans="2:13" x14ac:dyDescent="0.25">
      <c r="B871"/>
      <c r="C871"/>
      <c r="D871"/>
      <c r="E871"/>
      <c r="F871"/>
      <c r="G871"/>
      <c r="H871"/>
      <c r="I871"/>
      <c r="J871"/>
      <c r="K871"/>
      <c r="L871"/>
      <c r="M871"/>
    </row>
    <row r="872" spans="2:13" x14ac:dyDescent="0.25">
      <c r="B872"/>
      <c r="C872"/>
      <c r="D872"/>
      <c r="E872"/>
      <c r="F872"/>
      <c r="G872"/>
      <c r="H872"/>
      <c r="I872"/>
      <c r="J872"/>
      <c r="K872"/>
      <c r="L872"/>
      <c r="M872"/>
    </row>
    <row r="873" spans="2:13" x14ac:dyDescent="0.25">
      <c r="B873"/>
      <c r="C873"/>
      <c r="D873"/>
      <c r="E873"/>
      <c r="F873"/>
      <c r="G873"/>
      <c r="H873"/>
      <c r="I873"/>
      <c r="J873"/>
      <c r="K873"/>
      <c r="L873"/>
      <c r="M873"/>
    </row>
    <row r="874" spans="2:13" x14ac:dyDescent="0.25">
      <c r="B874"/>
      <c r="C874"/>
      <c r="D874"/>
      <c r="E874"/>
      <c r="F874"/>
      <c r="G874"/>
      <c r="H874"/>
      <c r="I874"/>
      <c r="J874"/>
      <c r="K874"/>
      <c r="L874"/>
      <c r="M874"/>
    </row>
    <row r="875" spans="2:13" x14ac:dyDescent="0.25">
      <c r="B875"/>
      <c r="C875"/>
      <c r="D875"/>
      <c r="E875"/>
      <c r="F875"/>
      <c r="G875"/>
      <c r="H875"/>
      <c r="I875"/>
      <c r="J875"/>
      <c r="K875"/>
      <c r="L875"/>
      <c r="M875"/>
    </row>
    <row r="876" spans="2:13" x14ac:dyDescent="0.25">
      <c r="B876"/>
      <c r="C876"/>
      <c r="D876"/>
      <c r="E876"/>
      <c r="F876"/>
      <c r="G876"/>
      <c r="H876"/>
      <c r="I876"/>
      <c r="J876"/>
      <c r="K876"/>
      <c r="L876"/>
      <c r="M876"/>
    </row>
    <row r="877" spans="2:13" x14ac:dyDescent="0.25">
      <c r="B877"/>
      <c r="C877"/>
      <c r="D877"/>
      <c r="E877"/>
      <c r="F877"/>
      <c r="G877"/>
      <c r="H877"/>
      <c r="I877"/>
      <c r="J877"/>
      <c r="K877"/>
      <c r="L877"/>
      <c r="M877"/>
    </row>
    <row r="878" spans="2:13" x14ac:dyDescent="0.25">
      <c r="B878"/>
      <c r="C878"/>
      <c r="D878"/>
      <c r="E878"/>
      <c r="F878"/>
      <c r="G878"/>
      <c r="H878"/>
      <c r="I878"/>
      <c r="J878"/>
      <c r="K878"/>
      <c r="L878"/>
      <c r="M878"/>
    </row>
    <row r="879" spans="2:13" x14ac:dyDescent="0.25">
      <c r="B879"/>
      <c r="C879"/>
      <c r="D879"/>
      <c r="E879"/>
      <c r="F879"/>
      <c r="G879"/>
      <c r="H879"/>
      <c r="I879"/>
      <c r="J879"/>
      <c r="K879"/>
      <c r="L879"/>
      <c r="M879"/>
    </row>
    <row r="880" spans="2:13" x14ac:dyDescent="0.25">
      <c r="B880"/>
      <c r="C880"/>
      <c r="D880"/>
      <c r="E880"/>
      <c r="F880"/>
      <c r="G880"/>
      <c r="H880"/>
      <c r="I880"/>
      <c r="J880"/>
      <c r="K880"/>
      <c r="L880"/>
      <c r="M880"/>
    </row>
    <row r="881" spans="2:13" x14ac:dyDescent="0.25">
      <c r="B881"/>
      <c r="C881"/>
      <c r="D881"/>
      <c r="E881"/>
      <c r="F881"/>
      <c r="G881"/>
      <c r="H881"/>
      <c r="I881"/>
      <c r="J881"/>
      <c r="K881"/>
      <c r="L881"/>
      <c r="M881"/>
    </row>
    <row r="882" spans="2:13" x14ac:dyDescent="0.25">
      <c r="B882"/>
      <c r="C882"/>
      <c r="D882"/>
      <c r="E882"/>
      <c r="F882"/>
      <c r="G882"/>
      <c r="H882"/>
      <c r="I882"/>
      <c r="J882"/>
      <c r="K882"/>
      <c r="L882"/>
      <c r="M882"/>
    </row>
    <row r="883" spans="2:13" x14ac:dyDescent="0.25">
      <c r="B883"/>
      <c r="C883"/>
      <c r="D883"/>
      <c r="E883"/>
      <c r="F883"/>
      <c r="G883"/>
      <c r="H883"/>
      <c r="I883"/>
      <c r="J883"/>
      <c r="K883"/>
      <c r="L883"/>
      <c r="M883"/>
    </row>
    <row r="884" spans="2:13" x14ac:dyDescent="0.25">
      <c r="B884"/>
      <c r="C884"/>
      <c r="D884"/>
      <c r="E884"/>
      <c r="F884"/>
      <c r="G884"/>
      <c r="H884"/>
      <c r="I884"/>
      <c r="J884"/>
      <c r="K884"/>
      <c r="L884"/>
      <c r="M884"/>
    </row>
    <row r="885" spans="2:13" x14ac:dyDescent="0.25">
      <c r="B885"/>
      <c r="C885"/>
      <c r="D885"/>
      <c r="E885"/>
      <c r="F885"/>
      <c r="G885"/>
      <c r="H885"/>
      <c r="I885"/>
      <c r="J885"/>
      <c r="K885"/>
      <c r="L885"/>
      <c r="M885"/>
    </row>
    <row r="886" spans="2:13" x14ac:dyDescent="0.25">
      <c r="B886"/>
      <c r="C886"/>
      <c r="D886"/>
      <c r="E886"/>
      <c r="F886"/>
      <c r="G886"/>
      <c r="H886"/>
      <c r="I886"/>
      <c r="J886"/>
      <c r="K886"/>
      <c r="L886"/>
      <c r="M886"/>
    </row>
    <row r="887" spans="2:13" x14ac:dyDescent="0.25">
      <c r="B887"/>
      <c r="C887"/>
      <c r="D887"/>
      <c r="E887"/>
      <c r="F887"/>
      <c r="G887"/>
      <c r="H887"/>
      <c r="I887"/>
      <c r="J887"/>
      <c r="K887"/>
      <c r="L887"/>
      <c r="M887"/>
    </row>
    <row r="888" spans="2:13" x14ac:dyDescent="0.25">
      <c r="B888"/>
      <c r="C888"/>
      <c r="D888"/>
      <c r="E888"/>
      <c r="F888"/>
      <c r="G888"/>
      <c r="H888"/>
      <c r="I888"/>
      <c r="J888"/>
      <c r="K888"/>
      <c r="L888"/>
      <c r="M888"/>
    </row>
    <row r="889" spans="2:13" x14ac:dyDescent="0.25">
      <c r="B889"/>
      <c r="C889"/>
      <c r="D889"/>
      <c r="E889"/>
      <c r="F889"/>
      <c r="G889"/>
      <c r="H889"/>
      <c r="I889"/>
      <c r="J889"/>
      <c r="K889"/>
      <c r="L889"/>
      <c r="M889"/>
    </row>
    <row r="890" spans="2:13" x14ac:dyDescent="0.25">
      <c r="B890"/>
      <c r="C890"/>
      <c r="D890"/>
      <c r="E890"/>
      <c r="F890"/>
      <c r="G890"/>
      <c r="H890"/>
      <c r="I890"/>
      <c r="J890"/>
      <c r="K890"/>
      <c r="L890"/>
      <c r="M890"/>
    </row>
    <row r="891" spans="2:13" x14ac:dyDescent="0.25">
      <c r="B891"/>
      <c r="C891"/>
      <c r="D891"/>
      <c r="E891"/>
      <c r="F891"/>
      <c r="G891"/>
      <c r="H891"/>
      <c r="I891"/>
      <c r="J891"/>
      <c r="K891"/>
      <c r="L891"/>
      <c r="M891"/>
    </row>
    <row r="892" spans="2:13" x14ac:dyDescent="0.25">
      <c r="B892"/>
      <c r="C892"/>
      <c r="D892"/>
      <c r="E892"/>
      <c r="F892"/>
      <c r="G892"/>
      <c r="H892"/>
      <c r="I892"/>
      <c r="J892"/>
      <c r="K892"/>
      <c r="L892"/>
      <c r="M892"/>
    </row>
    <row r="893" spans="2:13" x14ac:dyDescent="0.25">
      <c r="B893"/>
      <c r="C893"/>
      <c r="D893"/>
      <c r="E893"/>
      <c r="F893"/>
      <c r="G893"/>
      <c r="H893"/>
      <c r="I893"/>
      <c r="J893"/>
      <c r="K893"/>
      <c r="L893"/>
      <c r="M893"/>
    </row>
    <row r="894" spans="2:13" x14ac:dyDescent="0.25">
      <c r="B894"/>
      <c r="C894"/>
      <c r="D894"/>
      <c r="E894"/>
      <c r="F894"/>
      <c r="G894"/>
      <c r="H894"/>
      <c r="I894"/>
      <c r="J894"/>
      <c r="K894"/>
      <c r="L894"/>
      <c r="M894"/>
    </row>
    <row r="895" spans="2:13" x14ac:dyDescent="0.25">
      <c r="B895"/>
      <c r="C895"/>
      <c r="D895"/>
      <c r="E895"/>
      <c r="F895"/>
      <c r="G895"/>
      <c r="H895"/>
      <c r="I895"/>
      <c r="J895"/>
      <c r="K895"/>
      <c r="L895"/>
      <c r="M895"/>
    </row>
    <row r="896" spans="2:13" x14ac:dyDescent="0.25">
      <c r="B896"/>
      <c r="C896"/>
      <c r="D896"/>
      <c r="E896"/>
      <c r="F896"/>
      <c r="G896"/>
      <c r="H896"/>
      <c r="I896"/>
      <c r="J896"/>
      <c r="K896"/>
      <c r="L896"/>
      <c r="M896"/>
    </row>
    <row r="897" spans="2:13" x14ac:dyDescent="0.25">
      <c r="B897"/>
      <c r="C897"/>
      <c r="D897"/>
      <c r="E897"/>
      <c r="F897"/>
      <c r="G897"/>
      <c r="H897"/>
      <c r="I897"/>
      <c r="J897"/>
      <c r="K897"/>
      <c r="L897"/>
      <c r="M897"/>
    </row>
    <row r="898" spans="2:13" x14ac:dyDescent="0.25">
      <c r="B898"/>
      <c r="C898"/>
      <c r="D898"/>
      <c r="E898"/>
      <c r="F898"/>
      <c r="G898"/>
      <c r="H898"/>
      <c r="I898"/>
      <c r="J898"/>
      <c r="K898"/>
      <c r="L898"/>
      <c r="M898"/>
    </row>
    <row r="899" spans="2:13" x14ac:dyDescent="0.25">
      <c r="B899"/>
      <c r="C899"/>
      <c r="D899"/>
      <c r="E899"/>
      <c r="F899"/>
      <c r="G899"/>
      <c r="H899"/>
      <c r="I899"/>
      <c r="J899"/>
      <c r="K899"/>
      <c r="L899"/>
      <c r="M899"/>
    </row>
    <row r="900" spans="2:13" x14ac:dyDescent="0.25">
      <c r="B900"/>
      <c r="C900"/>
      <c r="D900"/>
      <c r="E900"/>
      <c r="F900"/>
      <c r="G900"/>
      <c r="H900"/>
      <c r="I900"/>
      <c r="J900"/>
      <c r="K900"/>
      <c r="L900"/>
      <c r="M900"/>
    </row>
    <row r="901" spans="2:13" x14ac:dyDescent="0.25">
      <c r="B901"/>
      <c r="C901"/>
      <c r="D901"/>
      <c r="E901"/>
      <c r="F901"/>
      <c r="G901"/>
      <c r="H901"/>
      <c r="I901"/>
      <c r="J901"/>
      <c r="K901"/>
      <c r="L901"/>
      <c r="M901"/>
    </row>
    <row r="902" spans="2:13" x14ac:dyDescent="0.25">
      <c r="B902"/>
      <c r="C902"/>
      <c r="D902"/>
      <c r="E902"/>
      <c r="F902"/>
      <c r="G902"/>
      <c r="H902"/>
      <c r="I902"/>
      <c r="J902"/>
      <c r="K902"/>
      <c r="L902"/>
      <c r="M902"/>
    </row>
    <row r="903" spans="2:13" x14ac:dyDescent="0.25">
      <c r="B903"/>
      <c r="C903"/>
      <c r="D903"/>
      <c r="E903"/>
      <c r="F903"/>
      <c r="G903"/>
      <c r="H903"/>
      <c r="I903"/>
      <c r="J903"/>
      <c r="K903"/>
      <c r="L903"/>
      <c r="M903"/>
    </row>
    <row r="904" spans="2:13" x14ac:dyDescent="0.25">
      <c r="B904"/>
      <c r="C904"/>
      <c r="D904"/>
      <c r="E904"/>
      <c r="F904"/>
      <c r="G904"/>
      <c r="H904"/>
      <c r="I904"/>
      <c r="J904"/>
      <c r="K904"/>
      <c r="L904"/>
      <c r="M904"/>
    </row>
    <row r="905" spans="2:13" x14ac:dyDescent="0.25">
      <c r="B905"/>
      <c r="C905"/>
      <c r="D905"/>
      <c r="E905"/>
      <c r="F905"/>
      <c r="G905"/>
      <c r="H905"/>
      <c r="I905"/>
      <c r="J905"/>
      <c r="K905"/>
      <c r="L905"/>
      <c r="M905"/>
    </row>
    <row r="906" spans="2:13" x14ac:dyDescent="0.25">
      <c r="B906"/>
      <c r="C906"/>
      <c r="D906"/>
      <c r="E906"/>
      <c r="F906"/>
      <c r="G906"/>
      <c r="H906"/>
      <c r="I906"/>
      <c r="J906"/>
      <c r="K906"/>
      <c r="L906"/>
      <c r="M906"/>
    </row>
    <row r="907" spans="2:13" x14ac:dyDescent="0.25">
      <c r="B907"/>
      <c r="C907"/>
      <c r="D907"/>
      <c r="E907"/>
      <c r="F907"/>
      <c r="G907"/>
      <c r="H907"/>
      <c r="I907"/>
      <c r="J907"/>
      <c r="K907"/>
      <c r="L907"/>
      <c r="M907"/>
    </row>
    <row r="908" spans="2:13" x14ac:dyDescent="0.25">
      <c r="B908"/>
      <c r="C908"/>
      <c r="D908"/>
      <c r="E908"/>
      <c r="F908"/>
      <c r="G908"/>
      <c r="H908"/>
      <c r="I908"/>
      <c r="J908"/>
      <c r="K908"/>
      <c r="L908"/>
      <c r="M908"/>
    </row>
    <row r="909" spans="2:13" x14ac:dyDescent="0.25">
      <c r="B909"/>
      <c r="C909"/>
      <c r="D909"/>
      <c r="E909"/>
      <c r="F909"/>
      <c r="G909"/>
      <c r="H909"/>
      <c r="I909"/>
      <c r="J909"/>
      <c r="K909"/>
      <c r="L909"/>
      <c r="M909"/>
    </row>
    <row r="910" spans="2:13" x14ac:dyDescent="0.25">
      <c r="B910"/>
      <c r="C910"/>
      <c r="D910"/>
      <c r="E910"/>
      <c r="F910"/>
      <c r="G910"/>
      <c r="H910"/>
      <c r="I910"/>
      <c r="J910"/>
      <c r="K910"/>
      <c r="L910"/>
      <c r="M910"/>
    </row>
    <row r="911" spans="2:13" x14ac:dyDescent="0.25">
      <c r="B911"/>
      <c r="C911"/>
      <c r="D911"/>
      <c r="E911"/>
      <c r="F911"/>
      <c r="G911"/>
      <c r="H911"/>
      <c r="I911"/>
      <c r="J911"/>
      <c r="K911"/>
      <c r="L911"/>
      <c r="M911"/>
    </row>
    <row r="912" spans="2:13" x14ac:dyDescent="0.25">
      <c r="B912"/>
      <c r="C912"/>
      <c r="D912"/>
      <c r="E912"/>
      <c r="F912"/>
      <c r="G912"/>
      <c r="H912"/>
      <c r="I912"/>
      <c r="J912"/>
      <c r="K912"/>
      <c r="L912"/>
      <c r="M912"/>
    </row>
    <row r="913" spans="2:13" x14ac:dyDescent="0.25">
      <c r="B913"/>
      <c r="C913"/>
      <c r="D913"/>
      <c r="E913"/>
      <c r="F913"/>
      <c r="G913"/>
      <c r="H913"/>
      <c r="I913"/>
      <c r="J913"/>
      <c r="K913"/>
      <c r="L913"/>
      <c r="M913"/>
    </row>
    <row r="914" spans="2:13" x14ac:dyDescent="0.25">
      <c r="B914"/>
      <c r="C914"/>
      <c r="D914"/>
      <c r="E914"/>
      <c r="F914"/>
      <c r="G914"/>
      <c r="H914"/>
      <c r="I914"/>
      <c r="J914"/>
      <c r="K914"/>
      <c r="L914"/>
      <c r="M914"/>
    </row>
    <row r="915" spans="2:13" x14ac:dyDescent="0.25">
      <c r="B915"/>
      <c r="C915"/>
      <c r="D915"/>
      <c r="E915"/>
      <c r="F915"/>
      <c r="G915"/>
      <c r="H915"/>
      <c r="I915"/>
      <c r="J915"/>
      <c r="K915"/>
      <c r="L915"/>
      <c r="M915"/>
    </row>
    <row r="916" spans="2:13" x14ac:dyDescent="0.25">
      <c r="B916"/>
      <c r="C916"/>
      <c r="D916"/>
      <c r="E916"/>
      <c r="F916"/>
      <c r="G916"/>
      <c r="H916"/>
      <c r="I916"/>
      <c r="J916"/>
      <c r="K916"/>
      <c r="L916"/>
      <c r="M916"/>
    </row>
    <row r="917" spans="2:13" x14ac:dyDescent="0.25">
      <c r="B917"/>
      <c r="C917"/>
      <c r="D917"/>
      <c r="E917"/>
      <c r="F917"/>
      <c r="G917"/>
      <c r="H917"/>
      <c r="I917"/>
      <c r="J917"/>
      <c r="K917"/>
      <c r="L917"/>
      <c r="M917"/>
    </row>
    <row r="918" spans="2:13" x14ac:dyDescent="0.25">
      <c r="B918"/>
      <c r="C918"/>
      <c r="D918"/>
      <c r="E918"/>
      <c r="F918"/>
      <c r="G918"/>
      <c r="H918"/>
      <c r="I918"/>
      <c r="J918"/>
      <c r="K918"/>
      <c r="L918"/>
      <c r="M918"/>
    </row>
    <row r="919" spans="2:13" x14ac:dyDescent="0.25">
      <c r="B919"/>
      <c r="C919"/>
      <c r="D919"/>
      <c r="E919"/>
      <c r="F919"/>
      <c r="G919"/>
      <c r="H919"/>
      <c r="I919"/>
      <c r="J919"/>
      <c r="K919"/>
      <c r="L919"/>
      <c r="M919"/>
    </row>
    <row r="920" spans="2:13" x14ac:dyDescent="0.25">
      <c r="B920"/>
      <c r="C920"/>
      <c r="D920"/>
      <c r="E920"/>
      <c r="F920"/>
      <c r="G920"/>
      <c r="H920"/>
      <c r="I920"/>
      <c r="J920"/>
      <c r="K920"/>
      <c r="L920"/>
      <c r="M920"/>
    </row>
    <row r="921" spans="2:13" x14ac:dyDescent="0.25">
      <c r="B921"/>
      <c r="C921"/>
      <c r="D921"/>
      <c r="E921"/>
      <c r="F921"/>
      <c r="G921"/>
      <c r="H921"/>
      <c r="I921"/>
      <c r="J921"/>
      <c r="K921"/>
      <c r="L921"/>
      <c r="M921"/>
    </row>
    <row r="922" spans="2:13" x14ac:dyDescent="0.25">
      <c r="B922"/>
      <c r="C922"/>
      <c r="D922"/>
      <c r="E922"/>
      <c r="F922"/>
      <c r="G922"/>
      <c r="H922"/>
      <c r="I922"/>
      <c r="J922"/>
      <c r="K922"/>
      <c r="L922"/>
      <c r="M922"/>
    </row>
    <row r="923" spans="2:13" x14ac:dyDescent="0.25">
      <c r="B923"/>
      <c r="C923"/>
      <c r="D923"/>
      <c r="E923"/>
      <c r="F923"/>
      <c r="G923"/>
      <c r="H923"/>
      <c r="I923"/>
      <c r="J923"/>
      <c r="K923"/>
      <c r="L923"/>
      <c r="M923"/>
    </row>
    <row r="924" spans="2:13" x14ac:dyDescent="0.25">
      <c r="B924"/>
      <c r="C924"/>
      <c r="D924"/>
      <c r="E924"/>
      <c r="F924"/>
      <c r="G924"/>
      <c r="H924"/>
      <c r="I924"/>
      <c r="J924"/>
      <c r="K924"/>
      <c r="L924"/>
      <c r="M924"/>
    </row>
    <row r="925" spans="2:13" x14ac:dyDescent="0.25">
      <c r="B925"/>
      <c r="C925"/>
      <c r="D925"/>
      <c r="E925"/>
      <c r="F925"/>
      <c r="G925"/>
      <c r="H925"/>
      <c r="I925"/>
      <c r="J925"/>
      <c r="K925"/>
      <c r="L925"/>
      <c r="M925"/>
    </row>
    <row r="926" spans="2:13" x14ac:dyDescent="0.25">
      <c r="B926"/>
      <c r="C926"/>
      <c r="D926"/>
      <c r="E926"/>
      <c r="F926"/>
      <c r="G926"/>
      <c r="H926"/>
      <c r="I926"/>
      <c r="J926"/>
      <c r="K926"/>
      <c r="L926"/>
      <c r="M926"/>
    </row>
    <row r="927" spans="2:13" x14ac:dyDescent="0.25">
      <c r="B927"/>
      <c r="C927"/>
      <c r="D927"/>
      <c r="E927"/>
      <c r="F927"/>
      <c r="G927"/>
      <c r="H927"/>
      <c r="I927"/>
      <c r="J927"/>
      <c r="K927"/>
      <c r="L927"/>
      <c r="M927"/>
    </row>
    <row r="928" spans="2:13" x14ac:dyDescent="0.25">
      <c r="B928"/>
      <c r="C928"/>
      <c r="D928"/>
      <c r="E928"/>
      <c r="F928"/>
      <c r="G928"/>
      <c r="H928"/>
      <c r="I928"/>
      <c r="J928"/>
      <c r="K928"/>
      <c r="L928"/>
      <c r="M928"/>
    </row>
    <row r="929" spans="2:13" x14ac:dyDescent="0.25">
      <c r="B929"/>
      <c r="C929"/>
      <c r="D929"/>
      <c r="E929"/>
      <c r="F929"/>
      <c r="G929"/>
      <c r="H929"/>
      <c r="I929"/>
      <c r="J929"/>
      <c r="K929"/>
      <c r="L929"/>
      <c r="M929"/>
    </row>
    <row r="930" spans="2:13" x14ac:dyDescent="0.25">
      <c r="B930"/>
      <c r="C930"/>
      <c r="D930"/>
      <c r="E930"/>
      <c r="F930"/>
      <c r="G930"/>
      <c r="H930"/>
      <c r="I930"/>
      <c r="J930"/>
      <c r="K930"/>
      <c r="L930"/>
      <c r="M930"/>
    </row>
    <row r="931" spans="2:13" x14ac:dyDescent="0.25">
      <c r="B931"/>
      <c r="C931"/>
      <c r="D931"/>
      <c r="E931"/>
      <c r="F931"/>
      <c r="G931"/>
      <c r="H931"/>
      <c r="I931"/>
      <c r="J931"/>
      <c r="K931"/>
      <c r="L931"/>
      <c r="M931"/>
    </row>
    <row r="932" spans="2:13" x14ac:dyDescent="0.25">
      <c r="B932"/>
      <c r="C932"/>
      <c r="D932"/>
      <c r="E932"/>
      <c r="F932"/>
      <c r="G932"/>
      <c r="H932"/>
      <c r="I932"/>
      <c r="J932"/>
      <c r="K932"/>
      <c r="L932"/>
      <c r="M932"/>
    </row>
    <row r="933" spans="2:13" x14ac:dyDescent="0.25">
      <c r="B933"/>
      <c r="C933"/>
      <c r="D933"/>
      <c r="E933"/>
      <c r="F933"/>
      <c r="G933"/>
      <c r="H933"/>
      <c r="I933"/>
      <c r="J933"/>
      <c r="K933"/>
      <c r="L933"/>
      <c r="M933"/>
    </row>
    <row r="934" spans="2:13" x14ac:dyDescent="0.25">
      <c r="B934"/>
      <c r="C934"/>
      <c r="D934"/>
      <c r="E934"/>
      <c r="F934"/>
      <c r="G934"/>
      <c r="H934"/>
      <c r="I934"/>
      <c r="J934"/>
      <c r="K934"/>
      <c r="L934"/>
      <c r="M934"/>
    </row>
    <row r="935" spans="2:13" x14ac:dyDescent="0.25">
      <c r="B935"/>
      <c r="C935"/>
      <c r="D935"/>
      <c r="E935"/>
      <c r="F935"/>
      <c r="G935"/>
      <c r="H935"/>
      <c r="I935"/>
      <c r="J935"/>
      <c r="K935"/>
      <c r="L935"/>
      <c r="M935"/>
    </row>
    <row r="936" spans="2:13" x14ac:dyDescent="0.25">
      <c r="B936"/>
      <c r="C936"/>
      <c r="D936"/>
      <c r="E936"/>
      <c r="F936"/>
      <c r="G936"/>
      <c r="H936"/>
      <c r="I936"/>
      <c r="J936"/>
      <c r="K936"/>
      <c r="L936"/>
      <c r="M936"/>
    </row>
    <row r="937" spans="2:13" x14ac:dyDescent="0.25">
      <c r="B937"/>
      <c r="C937"/>
      <c r="D937"/>
      <c r="E937"/>
      <c r="F937"/>
      <c r="G937"/>
      <c r="H937"/>
      <c r="I937"/>
      <c r="J937"/>
      <c r="K937"/>
      <c r="L937"/>
      <c r="M937"/>
    </row>
    <row r="938" spans="2:13" x14ac:dyDescent="0.25">
      <c r="B938"/>
      <c r="C938"/>
      <c r="D938"/>
      <c r="E938"/>
      <c r="F938"/>
      <c r="G938"/>
      <c r="H938"/>
      <c r="I938"/>
      <c r="J938"/>
      <c r="K938"/>
      <c r="L938"/>
      <c r="M938"/>
    </row>
    <row r="939" spans="2:13" x14ac:dyDescent="0.25">
      <c r="B939"/>
      <c r="C939"/>
      <c r="D939"/>
      <c r="E939"/>
      <c r="F939"/>
      <c r="G939"/>
      <c r="H939"/>
      <c r="I939"/>
      <c r="J939"/>
      <c r="K939"/>
      <c r="L939"/>
      <c r="M939"/>
    </row>
    <row r="940" spans="2:13" x14ac:dyDescent="0.25">
      <c r="B940"/>
      <c r="C940"/>
      <c r="D940"/>
      <c r="E940"/>
      <c r="F940"/>
      <c r="G940"/>
      <c r="H940"/>
      <c r="I940"/>
      <c r="J940"/>
      <c r="K940"/>
      <c r="L940"/>
      <c r="M940"/>
    </row>
    <row r="941" spans="2:13" x14ac:dyDescent="0.25">
      <c r="B941"/>
      <c r="C941"/>
      <c r="D941"/>
      <c r="E941"/>
      <c r="F941"/>
      <c r="G941"/>
      <c r="H941"/>
      <c r="I941"/>
      <c r="J941"/>
      <c r="K941"/>
      <c r="L941"/>
      <c r="M941"/>
    </row>
    <row r="942" spans="2:13" x14ac:dyDescent="0.25">
      <c r="B942"/>
      <c r="C942"/>
      <c r="D942"/>
      <c r="E942"/>
      <c r="F942"/>
      <c r="G942"/>
      <c r="H942"/>
      <c r="I942"/>
      <c r="J942"/>
      <c r="K942"/>
      <c r="L942"/>
      <c r="M942"/>
    </row>
    <row r="943" spans="2:13" x14ac:dyDescent="0.25">
      <c r="B943"/>
      <c r="C943"/>
      <c r="D943"/>
      <c r="E943"/>
      <c r="F943"/>
      <c r="G943"/>
      <c r="H943"/>
      <c r="I943"/>
      <c r="J943"/>
      <c r="K943"/>
      <c r="L943"/>
      <c r="M943"/>
    </row>
    <row r="944" spans="2:13" x14ac:dyDescent="0.25">
      <c r="B944"/>
      <c r="C944"/>
      <c r="D944"/>
      <c r="E944"/>
      <c r="F944"/>
      <c r="G944"/>
      <c r="H944"/>
      <c r="I944"/>
      <c r="J944"/>
      <c r="K944"/>
      <c r="L944"/>
      <c r="M944"/>
    </row>
    <row r="945" spans="2:13" x14ac:dyDescent="0.25">
      <c r="B945"/>
      <c r="C945"/>
      <c r="D945"/>
      <c r="E945"/>
      <c r="F945"/>
      <c r="G945"/>
      <c r="H945"/>
      <c r="I945"/>
      <c r="J945"/>
      <c r="K945"/>
      <c r="L945"/>
      <c r="M945"/>
    </row>
    <row r="946" spans="2:13" x14ac:dyDescent="0.25">
      <c r="B946"/>
      <c r="C946"/>
      <c r="D946"/>
      <c r="E946"/>
      <c r="F946"/>
      <c r="G946"/>
      <c r="H946"/>
      <c r="I946"/>
      <c r="J946"/>
      <c r="K946"/>
      <c r="L946"/>
      <c r="M946"/>
    </row>
    <row r="947" spans="2:13" x14ac:dyDescent="0.25">
      <c r="B947"/>
      <c r="C947"/>
      <c r="D947"/>
      <c r="E947"/>
      <c r="F947"/>
      <c r="G947"/>
      <c r="H947"/>
      <c r="I947"/>
      <c r="J947"/>
      <c r="K947"/>
      <c r="L947"/>
      <c r="M947"/>
    </row>
    <row r="948" spans="2:13" x14ac:dyDescent="0.25">
      <c r="B948"/>
      <c r="C948"/>
      <c r="D948"/>
      <c r="E948"/>
      <c r="F948"/>
      <c r="G948"/>
      <c r="H948"/>
      <c r="I948"/>
      <c r="J948"/>
      <c r="K948"/>
      <c r="L948"/>
      <c r="M948"/>
    </row>
    <row r="949" spans="2:13" x14ac:dyDescent="0.25">
      <c r="B949"/>
      <c r="C949"/>
      <c r="D949"/>
      <c r="E949"/>
      <c r="F949"/>
      <c r="G949"/>
      <c r="H949"/>
      <c r="I949"/>
      <c r="J949"/>
      <c r="K949"/>
      <c r="L949"/>
      <c r="M949"/>
    </row>
    <row r="950" spans="2:13" x14ac:dyDescent="0.25">
      <c r="B950"/>
      <c r="C950"/>
      <c r="D950"/>
      <c r="E950"/>
      <c r="F950"/>
      <c r="G950"/>
      <c r="H950"/>
      <c r="I950"/>
      <c r="J950"/>
      <c r="K950"/>
      <c r="L950"/>
      <c r="M950"/>
    </row>
    <row r="951" spans="2:13" x14ac:dyDescent="0.25">
      <c r="B951"/>
      <c r="C951"/>
      <c r="D951"/>
      <c r="E951"/>
      <c r="F951"/>
      <c r="G951"/>
      <c r="H951"/>
      <c r="I951"/>
      <c r="J951"/>
      <c r="K951"/>
      <c r="L951"/>
      <c r="M951"/>
    </row>
    <row r="952" spans="2:13" x14ac:dyDescent="0.25">
      <c r="B952"/>
      <c r="C952"/>
      <c r="D952"/>
      <c r="E952"/>
      <c r="F952"/>
      <c r="G952"/>
      <c r="H952"/>
      <c r="I952"/>
      <c r="J952"/>
      <c r="K952"/>
      <c r="L952"/>
      <c r="M952"/>
    </row>
    <row r="953" spans="2:13" x14ac:dyDescent="0.25">
      <c r="B953"/>
      <c r="C953"/>
      <c r="D953"/>
      <c r="E953"/>
      <c r="F953"/>
      <c r="G953"/>
      <c r="H953"/>
      <c r="I953"/>
      <c r="J953"/>
      <c r="K953"/>
      <c r="L953"/>
      <c r="M953"/>
    </row>
    <row r="954" spans="2:13" x14ac:dyDescent="0.25">
      <c r="B954"/>
      <c r="C954"/>
      <c r="D954"/>
      <c r="E954"/>
      <c r="F954"/>
      <c r="G954"/>
      <c r="H954"/>
      <c r="I954"/>
      <c r="J954"/>
      <c r="K954"/>
      <c r="L954"/>
      <c r="M954"/>
    </row>
    <row r="955" spans="2:13" x14ac:dyDescent="0.25">
      <c r="B955"/>
      <c r="C955"/>
      <c r="D955"/>
      <c r="E955"/>
      <c r="F955"/>
      <c r="G955"/>
      <c r="H955"/>
      <c r="I955"/>
      <c r="J955"/>
      <c r="K955"/>
      <c r="L955"/>
      <c r="M955"/>
    </row>
    <row r="956" spans="2:13" x14ac:dyDescent="0.25">
      <c r="B956"/>
      <c r="C956"/>
      <c r="D956"/>
      <c r="E956"/>
      <c r="F956"/>
      <c r="G956"/>
      <c r="H956"/>
      <c r="I956"/>
      <c r="J956"/>
      <c r="K956"/>
      <c r="L956"/>
      <c r="M956"/>
    </row>
    <row r="957" spans="2:13" x14ac:dyDescent="0.25">
      <c r="B957"/>
      <c r="C957"/>
      <c r="D957"/>
      <c r="E957"/>
      <c r="F957"/>
      <c r="G957"/>
      <c r="H957"/>
      <c r="I957"/>
      <c r="J957"/>
      <c r="K957"/>
      <c r="L957"/>
      <c r="M957"/>
    </row>
    <row r="958" spans="2:13" x14ac:dyDescent="0.25">
      <c r="B958"/>
      <c r="C958"/>
      <c r="D958"/>
      <c r="E958"/>
      <c r="F958"/>
      <c r="G958"/>
      <c r="H958"/>
      <c r="I958"/>
      <c r="J958"/>
      <c r="K958"/>
      <c r="L958"/>
      <c r="M958"/>
    </row>
    <row r="959" spans="2:13" x14ac:dyDescent="0.25">
      <c r="B959"/>
      <c r="C959"/>
      <c r="D959"/>
      <c r="E959"/>
      <c r="F959"/>
      <c r="G959"/>
      <c r="H959"/>
      <c r="I959"/>
      <c r="J959"/>
      <c r="K959"/>
      <c r="L959"/>
      <c r="M959"/>
    </row>
    <row r="960" spans="2:13" x14ac:dyDescent="0.25">
      <c r="B960"/>
      <c r="C960"/>
      <c r="D960"/>
      <c r="E960"/>
      <c r="F960"/>
      <c r="G960"/>
      <c r="H960"/>
      <c r="I960"/>
      <c r="J960"/>
      <c r="K960"/>
      <c r="L960"/>
      <c r="M960"/>
    </row>
    <row r="961" spans="2:13" x14ac:dyDescent="0.25">
      <c r="B961"/>
      <c r="C961"/>
      <c r="D961"/>
      <c r="E961"/>
      <c r="F961"/>
      <c r="G961"/>
      <c r="H961"/>
      <c r="I961"/>
      <c r="J961"/>
      <c r="K961"/>
      <c r="L961"/>
      <c r="M961"/>
    </row>
    <row r="962" spans="2:13" x14ac:dyDescent="0.25">
      <c r="B962"/>
      <c r="C962"/>
      <c r="D962"/>
      <c r="E962"/>
      <c r="F962"/>
      <c r="G962"/>
      <c r="H962"/>
      <c r="I962"/>
      <c r="J962"/>
      <c r="K962"/>
      <c r="L962"/>
      <c r="M962"/>
    </row>
    <row r="963" spans="2:13" x14ac:dyDescent="0.25">
      <c r="B963"/>
      <c r="C963"/>
      <c r="D963"/>
      <c r="E963"/>
      <c r="F963"/>
      <c r="G963"/>
      <c r="H963"/>
      <c r="I963"/>
      <c r="J963"/>
      <c r="K963"/>
      <c r="L963"/>
      <c r="M963"/>
    </row>
    <row r="964" spans="2:13" x14ac:dyDescent="0.25">
      <c r="B964"/>
      <c r="C964"/>
      <c r="D964"/>
      <c r="E964"/>
      <c r="F964"/>
      <c r="G964"/>
      <c r="H964"/>
      <c r="I964"/>
      <c r="J964"/>
      <c r="K964"/>
      <c r="L964"/>
      <c r="M964"/>
    </row>
    <row r="965" spans="2:13" x14ac:dyDescent="0.25">
      <c r="B965"/>
      <c r="C965"/>
      <c r="D965"/>
      <c r="E965"/>
      <c r="F965"/>
      <c r="G965"/>
      <c r="H965"/>
      <c r="I965"/>
      <c r="J965"/>
      <c r="K965"/>
      <c r="L965"/>
      <c r="M965"/>
    </row>
    <row r="966" spans="2:13" x14ac:dyDescent="0.25">
      <c r="B966"/>
      <c r="C966"/>
      <c r="D966"/>
      <c r="E966"/>
      <c r="F966"/>
      <c r="G966"/>
      <c r="H966"/>
      <c r="I966"/>
      <c r="J966"/>
      <c r="K966"/>
      <c r="L966"/>
      <c r="M966"/>
    </row>
    <row r="967" spans="2:13" x14ac:dyDescent="0.25">
      <c r="B967"/>
      <c r="C967"/>
      <c r="D967"/>
      <c r="E967"/>
      <c r="F967"/>
      <c r="G967"/>
      <c r="H967"/>
      <c r="I967"/>
      <c r="J967"/>
      <c r="K967"/>
      <c r="L967"/>
      <c r="M967"/>
    </row>
    <row r="968" spans="2:13" x14ac:dyDescent="0.25">
      <c r="B968"/>
      <c r="C968"/>
      <c r="D968"/>
      <c r="E968"/>
      <c r="F968"/>
      <c r="G968"/>
      <c r="H968"/>
      <c r="I968"/>
      <c r="J968"/>
      <c r="K968"/>
      <c r="L968"/>
      <c r="M968"/>
    </row>
    <row r="969" spans="2:13" x14ac:dyDescent="0.25">
      <c r="B969"/>
      <c r="C969"/>
      <c r="D969"/>
      <c r="E969"/>
      <c r="F969"/>
      <c r="G969"/>
      <c r="H969"/>
      <c r="I969"/>
      <c r="J969"/>
      <c r="K969"/>
      <c r="L969"/>
      <c r="M969"/>
    </row>
    <row r="970" spans="2:13" x14ac:dyDescent="0.25">
      <c r="B970"/>
      <c r="C970"/>
      <c r="D970"/>
      <c r="E970"/>
      <c r="F970"/>
      <c r="G970"/>
      <c r="H970"/>
      <c r="I970"/>
      <c r="J970"/>
      <c r="K970"/>
      <c r="L970"/>
      <c r="M970"/>
    </row>
    <row r="971" spans="2:13" x14ac:dyDescent="0.25">
      <c r="B971"/>
      <c r="C971"/>
      <c r="D971"/>
      <c r="E971"/>
      <c r="F971"/>
      <c r="G971"/>
      <c r="H971"/>
      <c r="I971"/>
      <c r="J971"/>
      <c r="K971"/>
      <c r="L971"/>
      <c r="M971"/>
    </row>
    <row r="972" spans="2:13" x14ac:dyDescent="0.25">
      <c r="B972"/>
      <c r="C972"/>
      <c r="D972"/>
      <c r="E972"/>
      <c r="F972"/>
      <c r="G972"/>
      <c r="H972"/>
      <c r="I972"/>
      <c r="J972"/>
      <c r="K972"/>
      <c r="L972"/>
      <c r="M972"/>
    </row>
    <row r="973" spans="2:13" x14ac:dyDescent="0.25">
      <c r="B973"/>
      <c r="C973"/>
      <c r="D973"/>
      <c r="E973"/>
      <c r="F973"/>
      <c r="G973"/>
      <c r="H973"/>
      <c r="I973"/>
      <c r="J973"/>
      <c r="K973"/>
      <c r="L973"/>
      <c r="M973"/>
    </row>
    <row r="974" spans="2:13" x14ac:dyDescent="0.25">
      <c r="B974"/>
      <c r="C974"/>
      <c r="D974"/>
      <c r="E974"/>
      <c r="F974"/>
      <c r="G974"/>
      <c r="H974"/>
      <c r="I974"/>
      <c r="J974"/>
      <c r="K974"/>
      <c r="L974"/>
      <c r="M974"/>
    </row>
    <row r="975" spans="2:13" x14ac:dyDescent="0.25">
      <c r="B975"/>
      <c r="C975"/>
      <c r="D975"/>
      <c r="E975"/>
      <c r="F975"/>
      <c r="G975"/>
      <c r="H975"/>
      <c r="I975"/>
      <c r="J975"/>
      <c r="K975"/>
      <c r="L975"/>
      <c r="M975"/>
    </row>
    <row r="976" spans="2:13" x14ac:dyDescent="0.25">
      <c r="B976"/>
      <c r="C976"/>
      <c r="D976"/>
      <c r="E976"/>
      <c r="F976"/>
      <c r="G976"/>
      <c r="H976"/>
      <c r="I976"/>
      <c r="J976"/>
      <c r="K976"/>
      <c r="L976"/>
      <c r="M976"/>
    </row>
    <row r="977" spans="2:13" x14ac:dyDescent="0.25">
      <c r="B977"/>
      <c r="C977"/>
      <c r="D977"/>
      <c r="E977"/>
      <c r="F977"/>
      <c r="G977"/>
      <c r="H977"/>
      <c r="I977"/>
      <c r="J977"/>
      <c r="K977"/>
      <c r="L977"/>
      <c r="M977"/>
    </row>
    <row r="978" spans="2:13" x14ac:dyDescent="0.25">
      <c r="B978"/>
      <c r="C978"/>
      <c r="D978"/>
      <c r="E978"/>
      <c r="F978"/>
      <c r="G978"/>
      <c r="H978"/>
      <c r="I978"/>
      <c r="J978"/>
      <c r="K978"/>
      <c r="L978"/>
      <c r="M978"/>
    </row>
    <row r="979" spans="2:13" x14ac:dyDescent="0.25">
      <c r="B979"/>
      <c r="C979"/>
      <c r="D979"/>
      <c r="E979"/>
      <c r="F979"/>
      <c r="G979"/>
      <c r="H979"/>
      <c r="I979"/>
      <c r="J979"/>
      <c r="K979"/>
      <c r="L979"/>
      <c r="M979"/>
    </row>
    <row r="980" spans="2:13" x14ac:dyDescent="0.25">
      <c r="B980"/>
      <c r="C980"/>
      <c r="D980"/>
      <c r="E980"/>
      <c r="F980"/>
      <c r="G980"/>
      <c r="H980"/>
      <c r="I980"/>
      <c r="J980"/>
      <c r="K980"/>
      <c r="L980"/>
      <c r="M980"/>
    </row>
    <row r="981" spans="2:13" x14ac:dyDescent="0.25">
      <c r="B981"/>
      <c r="C981"/>
      <c r="D981"/>
      <c r="E981"/>
      <c r="F981"/>
      <c r="G981"/>
      <c r="H981"/>
      <c r="I981"/>
      <c r="J981"/>
      <c r="K981"/>
      <c r="L981"/>
      <c r="M981"/>
    </row>
    <row r="982" spans="2:13" x14ac:dyDescent="0.25">
      <c r="B982"/>
      <c r="C982"/>
      <c r="D982"/>
      <c r="E982"/>
      <c r="F982"/>
      <c r="G982"/>
      <c r="H982"/>
      <c r="I982"/>
      <c r="J982"/>
      <c r="K982"/>
      <c r="L982"/>
      <c r="M982"/>
    </row>
    <row r="983" spans="2:13" x14ac:dyDescent="0.25">
      <c r="B983"/>
      <c r="C983"/>
      <c r="D983"/>
      <c r="E983"/>
      <c r="F983"/>
      <c r="G983"/>
      <c r="H983"/>
      <c r="I983"/>
      <c r="J983"/>
      <c r="K983"/>
      <c r="L983"/>
      <c r="M983"/>
    </row>
    <row r="984" spans="2:13" x14ac:dyDescent="0.25">
      <c r="B984"/>
      <c r="C984"/>
      <c r="D984"/>
      <c r="E984"/>
      <c r="F984"/>
      <c r="G984"/>
      <c r="H984"/>
      <c r="I984"/>
      <c r="J984"/>
      <c r="K984"/>
      <c r="L984"/>
      <c r="M984"/>
    </row>
    <row r="985" spans="2:13" x14ac:dyDescent="0.25">
      <c r="B985"/>
      <c r="C985"/>
      <c r="D985"/>
      <c r="E985"/>
      <c r="F985"/>
      <c r="G985"/>
      <c r="H985"/>
      <c r="I985"/>
      <c r="J985"/>
      <c r="K985"/>
      <c r="L985"/>
      <c r="M985"/>
    </row>
    <row r="986" spans="2:13" x14ac:dyDescent="0.25">
      <c r="B986"/>
      <c r="C986"/>
      <c r="D986"/>
      <c r="E986"/>
      <c r="F986"/>
      <c r="G986"/>
      <c r="H986"/>
      <c r="I986"/>
      <c r="J986"/>
      <c r="K986"/>
      <c r="L986"/>
      <c r="M986"/>
    </row>
    <row r="987" spans="2:13" x14ac:dyDescent="0.25">
      <c r="B987"/>
      <c r="C987"/>
      <c r="D987"/>
      <c r="E987"/>
      <c r="F987"/>
      <c r="G987"/>
      <c r="H987"/>
      <c r="I987"/>
      <c r="J987"/>
      <c r="K987"/>
      <c r="L987"/>
      <c r="M987"/>
    </row>
    <row r="988" spans="2:13" x14ac:dyDescent="0.25">
      <c r="B988"/>
      <c r="C988"/>
      <c r="D988"/>
      <c r="E988"/>
      <c r="F988"/>
      <c r="G988"/>
      <c r="H988"/>
      <c r="I988"/>
      <c r="J988"/>
      <c r="K988"/>
      <c r="L988"/>
      <c r="M988"/>
    </row>
    <row r="989" spans="2:13" x14ac:dyDescent="0.25">
      <c r="B989"/>
      <c r="C989"/>
      <c r="D989"/>
      <c r="E989"/>
      <c r="F989"/>
      <c r="G989"/>
      <c r="H989"/>
      <c r="I989"/>
      <c r="J989"/>
      <c r="K989"/>
      <c r="L989"/>
      <c r="M989"/>
    </row>
    <row r="990" spans="2:13" x14ac:dyDescent="0.25">
      <c r="B990"/>
      <c r="C990"/>
      <c r="D990"/>
      <c r="E990"/>
      <c r="F990"/>
      <c r="G990"/>
      <c r="H990"/>
      <c r="I990"/>
      <c r="J990"/>
      <c r="K990"/>
      <c r="L990"/>
      <c r="M990"/>
    </row>
    <row r="991" spans="2:13" x14ac:dyDescent="0.25">
      <c r="B991"/>
      <c r="C991"/>
      <c r="D991"/>
      <c r="E991"/>
      <c r="F991"/>
      <c r="G991"/>
      <c r="H991"/>
      <c r="I991"/>
      <c r="J991"/>
      <c r="K991"/>
      <c r="L991"/>
      <c r="M991"/>
    </row>
    <row r="992" spans="2:13" x14ac:dyDescent="0.25">
      <c r="B992"/>
      <c r="C992"/>
      <c r="D992"/>
      <c r="E992"/>
      <c r="F992"/>
      <c r="G992"/>
      <c r="H992"/>
      <c r="I992"/>
      <c r="J992"/>
      <c r="K992"/>
      <c r="L992"/>
      <c r="M992"/>
    </row>
    <row r="993" spans="2:13" x14ac:dyDescent="0.25">
      <c r="B993"/>
      <c r="C993"/>
      <c r="D993"/>
      <c r="E993"/>
      <c r="F993"/>
      <c r="G993"/>
      <c r="H993"/>
      <c r="I993"/>
      <c r="J993"/>
      <c r="K993"/>
      <c r="L993"/>
      <c r="M993"/>
    </row>
    <row r="994" spans="2:13" x14ac:dyDescent="0.25">
      <c r="B994"/>
      <c r="C994"/>
      <c r="D994"/>
      <c r="E994"/>
      <c r="F994"/>
      <c r="G994"/>
      <c r="H994"/>
      <c r="I994"/>
      <c r="J994"/>
      <c r="K994"/>
      <c r="L994"/>
      <c r="M994"/>
    </row>
    <row r="995" spans="2:13" x14ac:dyDescent="0.25">
      <c r="B995"/>
      <c r="C995"/>
      <c r="D995"/>
      <c r="E995"/>
      <c r="F995"/>
      <c r="G995"/>
      <c r="H995"/>
      <c r="I995"/>
      <c r="J995"/>
      <c r="K995"/>
      <c r="L995"/>
      <c r="M995"/>
    </row>
    <row r="996" spans="2:13" x14ac:dyDescent="0.25">
      <c r="B996"/>
      <c r="C996"/>
      <c r="D996"/>
      <c r="E996"/>
      <c r="F996"/>
      <c r="G996"/>
      <c r="H996"/>
      <c r="I996"/>
      <c r="J996"/>
      <c r="K996"/>
      <c r="L996"/>
      <c r="M996"/>
    </row>
    <row r="997" spans="2:13" x14ac:dyDescent="0.25">
      <c r="B997"/>
      <c r="C997"/>
      <c r="D997"/>
      <c r="E997"/>
      <c r="F997"/>
      <c r="G997"/>
      <c r="H997"/>
      <c r="I997"/>
      <c r="J997"/>
      <c r="K997"/>
      <c r="L997"/>
      <c r="M997"/>
    </row>
    <row r="998" spans="2:13" x14ac:dyDescent="0.25">
      <c r="B998"/>
      <c r="C998"/>
      <c r="D998"/>
      <c r="E998"/>
      <c r="F998"/>
      <c r="G998"/>
      <c r="H998"/>
      <c r="I998"/>
      <c r="J998"/>
      <c r="K998"/>
      <c r="L998"/>
      <c r="M998"/>
    </row>
    <row r="999" spans="2:13" x14ac:dyDescent="0.25">
      <c r="B999"/>
      <c r="C999"/>
      <c r="D999"/>
      <c r="E999"/>
      <c r="F999"/>
      <c r="G999"/>
      <c r="H999"/>
      <c r="I999"/>
      <c r="J999"/>
      <c r="K999"/>
      <c r="L999"/>
      <c r="M999"/>
    </row>
    <row r="1000" spans="2:13" x14ac:dyDescent="0.25">
      <c r="B1000"/>
      <c r="C1000"/>
      <c r="D1000"/>
      <c r="E1000"/>
      <c r="F1000"/>
      <c r="G1000"/>
      <c r="H1000"/>
      <c r="I1000"/>
      <c r="J1000"/>
      <c r="K1000"/>
      <c r="L1000"/>
      <c r="M1000"/>
    </row>
  </sheetData>
  <mergeCells count="1">
    <mergeCell ref="B1:S1"/>
  </mergeCells>
  <phoneticPr fontId="6" type="noConversion"/>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99F55-16AC-4182-B006-2A9EC24974EC}">
  <sheetPr codeName="Sheet3"/>
  <dimension ref="A4:B19"/>
  <sheetViews>
    <sheetView workbookViewId="0">
      <selection activeCell="E26" sqref="E26"/>
    </sheetView>
  </sheetViews>
  <sheetFormatPr defaultRowHeight="15" x14ac:dyDescent="0.25"/>
  <cols>
    <col min="1" max="1" width="13.42578125" bestFit="1" customWidth="1"/>
    <col min="2" max="2" width="14.85546875" bestFit="1" customWidth="1"/>
  </cols>
  <sheetData>
    <row r="4" spans="1:2" x14ac:dyDescent="0.25">
      <c r="A4" s="9" t="s">
        <v>20</v>
      </c>
      <c r="B4" t="s">
        <v>22</v>
      </c>
    </row>
    <row r="5" spans="1:2" x14ac:dyDescent="0.25">
      <c r="A5" s="10" t="s">
        <v>50</v>
      </c>
      <c r="B5" s="29">
        <v>1049</v>
      </c>
    </row>
    <row r="6" spans="1:2" x14ac:dyDescent="0.25">
      <c r="A6" s="10" t="s">
        <v>55</v>
      </c>
      <c r="B6" s="29">
        <v>120</v>
      </c>
    </row>
    <row r="7" spans="1:2" x14ac:dyDescent="0.25">
      <c r="A7" s="10" t="s">
        <v>58</v>
      </c>
      <c r="B7" s="29">
        <v>1500</v>
      </c>
    </row>
    <row r="8" spans="1:2" x14ac:dyDescent="0.25">
      <c r="A8" s="10" t="s">
        <v>14</v>
      </c>
      <c r="B8" s="29">
        <v>949</v>
      </c>
    </row>
    <row r="9" spans="1:2" x14ac:dyDescent="0.25">
      <c r="A9" s="10" t="s">
        <v>26</v>
      </c>
      <c r="B9" s="29">
        <v>4330</v>
      </c>
    </row>
    <row r="10" spans="1:2" x14ac:dyDescent="0.25">
      <c r="A10" s="10" t="s">
        <v>43</v>
      </c>
      <c r="B10" s="29">
        <v>6000</v>
      </c>
    </row>
    <row r="11" spans="1:2" x14ac:dyDescent="0.25">
      <c r="A11" s="10" t="s">
        <v>75</v>
      </c>
      <c r="B11" s="29">
        <v>1000</v>
      </c>
    </row>
    <row r="12" spans="1:2" x14ac:dyDescent="0.25">
      <c r="A12" s="10" t="s">
        <v>16</v>
      </c>
      <c r="B12" s="29">
        <v>2420</v>
      </c>
    </row>
    <row r="13" spans="1:2" x14ac:dyDescent="0.25">
      <c r="A13" s="10" t="s">
        <v>61</v>
      </c>
      <c r="B13" s="29">
        <v>350</v>
      </c>
    </row>
    <row r="14" spans="1:2" x14ac:dyDescent="0.25">
      <c r="A14" s="10" t="s">
        <v>9</v>
      </c>
      <c r="B14" s="29">
        <v>45000</v>
      </c>
    </row>
    <row r="15" spans="1:2" x14ac:dyDescent="0.25">
      <c r="A15" s="10" t="s">
        <v>17</v>
      </c>
      <c r="B15" s="29">
        <v>2199</v>
      </c>
    </row>
    <row r="16" spans="1:2" x14ac:dyDescent="0.25">
      <c r="A16" s="10" t="s">
        <v>31</v>
      </c>
      <c r="B16" s="29">
        <v>1850</v>
      </c>
    </row>
    <row r="17" spans="1:2" x14ac:dyDescent="0.25">
      <c r="A17" s="10" t="s">
        <v>64</v>
      </c>
      <c r="B17" s="29">
        <v>900</v>
      </c>
    </row>
    <row r="18" spans="1:2" x14ac:dyDescent="0.25">
      <c r="A18" s="10" t="s">
        <v>15</v>
      </c>
      <c r="B18" s="29">
        <v>2799</v>
      </c>
    </row>
    <row r="19" spans="1:2" x14ac:dyDescent="0.25">
      <c r="A19" s="10" t="s">
        <v>21</v>
      </c>
      <c r="B19" s="29">
        <v>70466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0A858-DA9D-4209-9876-8E4A44A5935E}">
  <sheetPr codeName="Sheet4"/>
  <dimension ref="A3:AB19"/>
  <sheetViews>
    <sheetView workbookViewId="0">
      <selection activeCell="A3" sqref="A3:AA19"/>
    </sheetView>
  </sheetViews>
  <sheetFormatPr defaultRowHeight="15" x14ac:dyDescent="0.25"/>
  <cols>
    <col min="1" max="1" width="14.85546875" bestFit="1" customWidth="1"/>
    <col min="2" max="2" width="16.85546875" bestFit="1" customWidth="1"/>
    <col min="3" max="12" width="9.42578125" bestFit="1" customWidth="1"/>
    <col min="13" max="13" width="8.42578125" bestFit="1" customWidth="1"/>
    <col min="14" max="19" width="9.42578125" bestFit="1" customWidth="1"/>
    <col min="20" max="26" width="8.42578125" bestFit="1" customWidth="1"/>
    <col min="27" max="27" width="10.42578125" bestFit="1" customWidth="1"/>
    <col min="28" max="28" width="11.28515625" bestFit="1" customWidth="1"/>
  </cols>
  <sheetData>
    <row r="3" spans="1:28" x14ac:dyDescent="0.25">
      <c r="A3" s="9" t="s">
        <v>22</v>
      </c>
      <c r="B3" s="9" t="s">
        <v>23</v>
      </c>
    </row>
    <row r="4" spans="1:28" x14ac:dyDescent="0.25">
      <c r="A4" s="9" t="s">
        <v>20</v>
      </c>
      <c r="B4" t="s">
        <v>90</v>
      </c>
      <c r="C4" t="s">
        <v>91</v>
      </c>
      <c r="D4" t="s">
        <v>92</v>
      </c>
      <c r="E4" t="s">
        <v>93</v>
      </c>
      <c r="F4" t="s">
        <v>94</v>
      </c>
      <c r="G4" t="s">
        <v>95</v>
      </c>
      <c r="H4" t="s">
        <v>96</v>
      </c>
      <c r="I4" t="s">
        <v>97</v>
      </c>
      <c r="J4" t="s">
        <v>98</v>
      </c>
      <c r="K4" t="s">
        <v>99</v>
      </c>
      <c r="L4" t="s">
        <v>100</v>
      </c>
      <c r="M4" t="s">
        <v>101</v>
      </c>
      <c r="N4" t="s">
        <v>102</v>
      </c>
      <c r="O4" t="s">
        <v>103</v>
      </c>
      <c r="P4" t="s">
        <v>104</v>
      </c>
      <c r="Q4" t="s">
        <v>105</v>
      </c>
      <c r="R4" t="s">
        <v>106</v>
      </c>
      <c r="S4" t="s">
        <v>107</v>
      </c>
      <c r="T4" t="s">
        <v>108</v>
      </c>
      <c r="U4" t="s">
        <v>109</v>
      </c>
      <c r="V4" t="s">
        <v>110</v>
      </c>
      <c r="W4" t="s">
        <v>111</v>
      </c>
      <c r="X4" t="s">
        <v>112</v>
      </c>
      <c r="Y4" t="s">
        <v>113</v>
      </c>
      <c r="Z4" t="s">
        <v>114</v>
      </c>
      <c r="AA4" t="s">
        <v>89</v>
      </c>
      <c r="AB4" t="s">
        <v>21</v>
      </c>
    </row>
    <row r="5" spans="1:28" x14ac:dyDescent="0.25">
      <c r="A5" s="10" t="s">
        <v>50</v>
      </c>
      <c r="B5" s="29"/>
      <c r="C5" s="29"/>
      <c r="D5" s="29">
        <v>249</v>
      </c>
      <c r="E5" s="29"/>
      <c r="F5" s="29"/>
      <c r="G5" s="29"/>
      <c r="H5" s="29"/>
      <c r="I5" s="29"/>
      <c r="J5" s="29"/>
      <c r="K5" s="29"/>
      <c r="L5" s="29"/>
      <c r="M5" s="29"/>
      <c r="N5" s="29"/>
      <c r="O5" s="29"/>
      <c r="P5" s="29"/>
      <c r="Q5" s="29"/>
      <c r="R5" s="29"/>
      <c r="S5" s="29">
        <v>800</v>
      </c>
      <c r="T5" s="29"/>
      <c r="U5" s="29"/>
      <c r="V5" s="29"/>
      <c r="W5" s="29"/>
      <c r="X5" s="29"/>
      <c r="Y5" s="29"/>
      <c r="Z5" s="29"/>
      <c r="AA5" s="29"/>
      <c r="AB5" s="29">
        <v>1049</v>
      </c>
    </row>
    <row r="6" spans="1:28" x14ac:dyDescent="0.25">
      <c r="A6" s="10" t="s">
        <v>55</v>
      </c>
      <c r="B6" s="29"/>
      <c r="C6" s="29"/>
      <c r="D6" s="29"/>
      <c r="E6" s="29"/>
      <c r="F6" s="29">
        <v>120</v>
      </c>
      <c r="G6" s="29"/>
      <c r="H6" s="29"/>
      <c r="I6" s="29"/>
      <c r="J6" s="29"/>
      <c r="K6" s="29"/>
      <c r="L6" s="29"/>
      <c r="M6" s="29"/>
      <c r="N6" s="29"/>
      <c r="O6" s="29"/>
      <c r="P6" s="29"/>
      <c r="Q6" s="29"/>
      <c r="R6" s="29"/>
      <c r="S6" s="29"/>
      <c r="T6" s="29"/>
      <c r="U6" s="29"/>
      <c r="V6" s="29"/>
      <c r="W6" s="29"/>
      <c r="X6" s="29"/>
      <c r="Y6" s="29"/>
      <c r="Z6" s="29"/>
      <c r="AA6" s="29"/>
      <c r="AB6" s="29">
        <v>120</v>
      </c>
    </row>
    <row r="7" spans="1:28" x14ac:dyDescent="0.25">
      <c r="A7" s="10" t="s">
        <v>58</v>
      </c>
      <c r="B7" s="29"/>
      <c r="C7" s="29"/>
      <c r="D7" s="29"/>
      <c r="E7" s="29"/>
      <c r="F7" s="29"/>
      <c r="G7" s="29">
        <v>1500</v>
      </c>
      <c r="H7" s="29"/>
      <c r="I7" s="29"/>
      <c r="J7" s="29"/>
      <c r="K7" s="29"/>
      <c r="L7" s="29"/>
      <c r="M7" s="29"/>
      <c r="N7" s="29"/>
      <c r="O7" s="29"/>
      <c r="P7" s="29"/>
      <c r="Q7" s="29"/>
      <c r="R7" s="29"/>
      <c r="S7" s="29"/>
      <c r="T7" s="29"/>
      <c r="U7" s="29"/>
      <c r="V7" s="29"/>
      <c r="W7" s="29"/>
      <c r="X7" s="29"/>
      <c r="Y7" s="29"/>
      <c r="Z7" s="29"/>
      <c r="AA7" s="29"/>
      <c r="AB7" s="29">
        <v>1500</v>
      </c>
    </row>
    <row r="8" spans="1:28" x14ac:dyDescent="0.25">
      <c r="A8" s="10" t="s">
        <v>14</v>
      </c>
      <c r="B8" s="29"/>
      <c r="C8" s="29"/>
      <c r="D8" s="29"/>
      <c r="E8" s="29"/>
      <c r="F8" s="29"/>
      <c r="G8" s="29"/>
      <c r="H8" s="29"/>
      <c r="I8" s="29"/>
      <c r="J8" s="29"/>
      <c r="K8" s="29">
        <v>450</v>
      </c>
      <c r="L8" s="29"/>
      <c r="M8" s="29"/>
      <c r="N8" s="29"/>
      <c r="O8" s="29"/>
      <c r="P8" s="29"/>
      <c r="Q8" s="29"/>
      <c r="R8" s="29"/>
      <c r="S8" s="29"/>
      <c r="T8" s="29"/>
      <c r="U8" s="29">
        <v>499</v>
      </c>
      <c r="V8" s="29"/>
      <c r="W8" s="29"/>
      <c r="X8" s="29"/>
      <c r="Y8" s="29"/>
      <c r="Z8" s="29"/>
      <c r="AA8" s="29"/>
      <c r="AB8" s="29">
        <v>949</v>
      </c>
    </row>
    <row r="9" spans="1:28" x14ac:dyDescent="0.25">
      <c r="A9" s="10" t="s">
        <v>26</v>
      </c>
      <c r="B9" s="29"/>
      <c r="C9" s="29"/>
      <c r="D9" s="29"/>
      <c r="E9" s="29">
        <v>780</v>
      </c>
      <c r="F9" s="29"/>
      <c r="G9" s="29"/>
      <c r="H9" s="29"/>
      <c r="I9" s="29"/>
      <c r="J9" s="29">
        <v>280</v>
      </c>
      <c r="K9" s="29"/>
      <c r="L9" s="29"/>
      <c r="M9" s="29">
        <v>2300</v>
      </c>
      <c r="N9" s="29"/>
      <c r="O9" s="29"/>
      <c r="P9" s="29"/>
      <c r="Q9" s="29">
        <v>110</v>
      </c>
      <c r="R9" s="29"/>
      <c r="S9" s="29"/>
      <c r="T9" s="29"/>
      <c r="U9" s="29"/>
      <c r="V9" s="29"/>
      <c r="W9" s="29">
        <v>360</v>
      </c>
      <c r="X9" s="29"/>
      <c r="Y9" s="29"/>
      <c r="Z9" s="29"/>
      <c r="AA9" s="29">
        <v>500</v>
      </c>
      <c r="AB9" s="29">
        <v>4330</v>
      </c>
    </row>
    <row r="10" spans="1:28" x14ac:dyDescent="0.25">
      <c r="A10" s="10" t="s">
        <v>43</v>
      </c>
      <c r="B10" s="29"/>
      <c r="C10" s="29"/>
      <c r="D10" s="29"/>
      <c r="E10" s="29"/>
      <c r="F10" s="29"/>
      <c r="G10" s="29"/>
      <c r="H10" s="29"/>
      <c r="I10" s="29"/>
      <c r="J10" s="29"/>
      <c r="K10" s="29"/>
      <c r="L10" s="29"/>
      <c r="M10" s="29"/>
      <c r="N10" s="29"/>
      <c r="O10" s="29"/>
      <c r="P10" s="29"/>
      <c r="Q10" s="29"/>
      <c r="R10" s="29"/>
      <c r="S10" s="29"/>
      <c r="T10" s="29"/>
      <c r="U10" s="29"/>
      <c r="V10" s="29"/>
      <c r="W10" s="29"/>
      <c r="X10" s="29"/>
      <c r="Y10" s="29">
        <v>6000</v>
      </c>
      <c r="Z10" s="29"/>
      <c r="AA10" s="29"/>
      <c r="AB10" s="29">
        <v>6000</v>
      </c>
    </row>
    <row r="11" spans="1:28" x14ac:dyDescent="0.25">
      <c r="A11" s="10" t="s">
        <v>75</v>
      </c>
      <c r="B11" s="29"/>
      <c r="C11" s="29"/>
      <c r="D11" s="29"/>
      <c r="E11" s="29"/>
      <c r="F11" s="29"/>
      <c r="G11" s="29"/>
      <c r="H11" s="29"/>
      <c r="I11" s="29"/>
      <c r="J11" s="29"/>
      <c r="K11" s="29"/>
      <c r="L11" s="29"/>
      <c r="M11" s="29"/>
      <c r="N11" s="29"/>
      <c r="O11" s="29">
        <v>1000</v>
      </c>
      <c r="P11" s="29"/>
      <c r="Q11" s="29"/>
      <c r="R11" s="29"/>
      <c r="S11" s="29"/>
      <c r="T11" s="29"/>
      <c r="U11" s="29"/>
      <c r="V11" s="29"/>
      <c r="W11" s="29"/>
      <c r="X11" s="29"/>
      <c r="Y11" s="29"/>
      <c r="Z11" s="29"/>
      <c r="AA11" s="29"/>
      <c r="AB11" s="29">
        <v>1000</v>
      </c>
    </row>
    <row r="12" spans="1:28" x14ac:dyDescent="0.25">
      <c r="A12" s="10" t="s">
        <v>16</v>
      </c>
      <c r="B12" s="29"/>
      <c r="C12" s="29"/>
      <c r="D12" s="29"/>
      <c r="E12" s="29"/>
      <c r="F12" s="29"/>
      <c r="G12" s="29"/>
      <c r="H12" s="29"/>
      <c r="I12" s="29"/>
      <c r="J12" s="29"/>
      <c r="K12" s="29"/>
      <c r="L12" s="29"/>
      <c r="M12" s="29"/>
      <c r="N12" s="29">
        <v>2000</v>
      </c>
      <c r="O12" s="29"/>
      <c r="P12" s="29"/>
      <c r="Q12" s="29"/>
      <c r="R12" s="29"/>
      <c r="S12" s="29"/>
      <c r="T12" s="29"/>
      <c r="U12" s="29"/>
      <c r="V12" s="29"/>
      <c r="W12" s="29"/>
      <c r="X12" s="29">
        <v>420</v>
      </c>
      <c r="Y12" s="29"/>
      <c r="Z12" s="29"/>
      <c r="AA12" s="29"/>
      <c r="AB12" s="29">
        <v>2420</v>
      </c>
    </row>
    <row r="13" spans="1:28" x14ac:dyDescent="0.25">
      <c r="A13" s="10" t="s">
        <v>61</v>
      </c>
      <c r="B13" s="29"/>
      <c r="C13" s="29"/>
      <c r="D13" s="29"/>
      <c r="E13" s="29"/>
      <c r="F13" s="29"/>
      <c r="G13" s="29"/>
      <c r="H13" s="29">
        <v>350</v>
      </c>
      <c r="I13" s="29"/>
      <c r="J13" s="29"/>
      <c r="K13" s="29"/>
      <c r="L13" s="29"/>
      <c r="M13" s="29"/>
      <c r="N13" s="29"/>
      <c r="O13" s="29"/>
      <c r="P13" s="29"/>
      <c r="Q13" s="29"/>
      <c r="R13" s="29"/>
      <c r="S13" s="29"/>
      <c r="T13" s="29"/>
      <c r="U13" s="29"/>
      <c r="V13" s="29"/>
      <c r="W13" s="29"/>
      <c r="X13" s="29"/>
      <c r="Y13" s="29"/>
      <c r="Z13" s="29"/>
      <c r="AA13" s="29"/>
      <c r="AB13" s="29">
        <v>350</v>
      </c>
    </row>
    <row r="14" spans="1:28" x14ac:dyDescent="0.25">
      <c r="A14" s="10" t="s">
        <v>9</v>
      </c>
      <c r="B14" s="29">
        <v>45000</v>
      </c>
      <c r="C14" s="29"/>
      <c r="D14" s="29"/>
      <c r="E14" s="29"/>
      <c r="F14" s="29"/>
      <c r="G14" s="29"/>
      <c r="H14" s="29"/>
      <c r="I14" s="29"/>
      <c r="J14" s="29"/>
      <c r="K14" s="29"/>
      <c r="L14" s="29"/>
      <c r="M14" s="29"/>
      <c r="N14" s="29"/>
      <c r="O14" s="29"/>
      <c r="P14" s="29"/>
      <c r="Q14" s="29"/>
      <c r="R14" s="29"/>
      <c r="S14" s="29"/>
      <c r="T14" s="29"/>
      <c r="U14" s="29"/>
      <c r="V14" s="29"/>
      <c r="W14" s="29"/>
      <c r="X14" s="29"/>
      <c r="Y14" s="29"/>
      <c r="Z14" s="29"/>
      <c r="AA14" s="29"/>
      <c r="AB14" s="29">
        <v>45000</v>
      </c>
    </row>
    <row r="15" spans="1:28" x14ac:dyDescent="0.25">
      <c r="A15" s="10" t="s">
        <v>17</v>
      </c>
      <c r="B15" s="29"/>
      <c r="C15" s="29"/>
      <c r="D15" s="29"/>
      <c r="E15" s="29"/>
      <c r="F15" s="29"/>
      <c r="G15" s="29"/>
      <c r="H15" s="29"/>
      <c r="I15" s="29"/>
      <c r="J15" s="29"/>
      <c r="K15" s="29"/>
      <c r="L15" s="29"/>
      <c r="M15" s="29"/>
      <c r="N15" s="29"/>
      <c r="O15" s="29"/>
      <c r="P15" s="29">
        <v>1400</v>
      </c>
      <c r="Q15" s="29"/>
      <c r="R15" s="29"/>
      <c r="S15" s="29"/>
      <c r="T15" s="29"/>
      <c r="U15" s="29"/>
      <c r="V15" s="29"/>
      <c r="W15" s="29"/>
      <c r="X15" s="29"/>
      <c r="Y15" s="29"/>
      <c r="Z15" s="29">
        <v>799</v>
      </c>
      <c r="AA15" s="29"/>
      <c r="AB15" s="29">
        <v>2199</v>
      </c>
    </row>
    <row r="16" spans="1:28" x14ac:dyDescent="0.25">
      <c r="A16" s="10" t="s">
        <v>31</v>
      </c>
      <c r="B16" s="29"/>
      <c r="C16" s="29">
        <v>1000</v>
      </c>
      <c r="D16" s="29"/>
      <c r="E16" s="29"/>
      <c r="F16" s="29"/>
      <c r="G16" s="29"/>
      <c r="H16" s="29"/>
      <c r="I16" s="29"/>
      <c r="J16" s="29"/>
      <c r="K16" s="29"/>
      <c r="L16" s="29"/>
      <c r="M16" s="29"/>
      <c r="N16" s="29"/>
      <c r="O16" s="29"/>
      <c r="P16" s="29"/>
      <c r="Q16" s="29"/>
      <c r="R16" s="29">
        <v>600</v>
      </c>
      <c r="S16" s="29"/>
      <c r="T16" s="29">
        <v>250</v>
      </c>
      <c r="U16" s="29"/>
      <c r="V16" s="29"/>
      <c r="W16" s="29"/>
      <c r="X16" s="29"/>
      <c r="Y16" s="29"/>
      <c r="Z16" s="29"/>
      <c r="AA16" s="29"/>
      <c r="AB16" s="29">
        <v>1850</v>
      </c>
    </row>
    <row r="17" spans="1:28" x14ac:dyDescent="0.25">
      <c r="A17" s="10" t="s">
        <v>64</v>
      </c>
      <c r="B17" s="29"/>
      <c r="C17" s="29"/>
      <c r="D17" s="29"/>
      <c r="E17" s="29"/>
      <c r="F17" s="29"/>
      <c r="G17" s="29"/>
      <c r="H17" s="29"/>
      <c r="I17" s="29">
        <v>900</v>
      </c>
      <c r="J17" s="29"/>
      <c r="K17" s="29"/>
      <c r="L17" s="29"/>
      <c r="M17" s="29"/>
      <c r="N17" s="29"/>
      <c r="O17" s="29"/>
      <c r="P17" s="29"/>
      <c r="Q17" s="29"/>
      <c r="R17" s="29"/>
      <c r="S17" s="29"/>
      <c r="T17" s="29"/>
      <c r="U17" s="29"/>
      <c r="V17" s="29"/>
      <c r="W17" s="29"/>
      <c r="X17" s="29"/>
      <c r="Y17" s="29"/>
      <c r="Z17" s="29"/>
      <c r="AA17" s="29"/>
      <c r="AB17" s="29">
        <v>900</v>
      </c>
    </row>
    <row r="18" spans="1:28" x14ac:dyDescent="0.25">
      <c r="A18" s="10" t="s">
        <v>15</v>
      </c>
      <c r="B18" s="29"/>
      <c r="C18" s="29"/>
      <c r="D18" s="29"/>
      <c r="E18" s="29"/>
      <c r="F18" s="29"/>
      <c r="G18" s="29"/>
      <c r="H18" s="29"/>
      <c r="I18" s="29"/>
      <c r="J18" s="29"/>
      <c r="K18" s="29"/>
      <c r="L18" s="29">
        <v>999</v>
      </c>
      <c r="M18" s="29"/>
      <c r="N18" s="29"/>
      <c r="O18" s="29"/>
      <c r="P18" s="29"/>
      <c r="Q18" s="29"/>
      <c r="R18" s="29"/>
      <c r="S18" s="29"/>
      <c r="T18" s="29"/>
      <c r="U18" s="29"/>
      <c r="V18" s="29">
        <v>1800</v>
      </c>
      <c r="W18" s="29"/>
      <c r="X18" s="29"/>
      <c r="Y18" s="29"/>
      <c r="Z18" s="29"/>
      <c r="AA18" s="29"/>
      <c r="AB18" s="29">
        <v>2799</v>
      </c>
    </row>
    <row r="19" spans="1:28" x14ac:dyDescent="0.25">
      <c r="A19" s="10" t="s">
        <v>21</v>
      </c>
      <c r="B19" s="29">
        <v>45000</v>
      </c>
      <c r="C19" s="29">
        <v>1000</v>
      </c>
      <c r="D19" s="29">
        <v>249</v>
      </c>
      <c r="E19" s="29">
        <v>780</v>
      </c>
      <c r="F19" s="29">
        <v>120</v>
      </c>
      <c r="G19" s="29">
        <v>1500</v>
      </c>
      <c r="H19" s="29">
        <v>350</v>
      </c>
      <c r="I19" s="29">
        <v>900</v>
      </c>
      <c r="J19" s="29">
        <v>280</v>
      </c>
      <c r="K19" s="29">
        <v>450</v>
      </c>
      <c r="L19" s="29">
        <v>999</v>
      </c>
      <c r="M19" s="29">
        <v>2300</v>
      </c>
      <c r="N19" s="29">
        <v>2000</v>
      </c>
      <c r="O19" s="29">
        <v>1000</v>
      </c>
      <c r="P19" s="29">
        <v>1400</v>
      </c>
      <c r="Q19" s="29">
        <v>110</v>
      </c>
      <c r="R19" s="29">
        <v>600</v>
      </c>
      <c r="S19" s="29">
        <v>800</v>
      </c>
      <c r="T19" s="29">
        <v>250</v>
      </c>
      <c r="U19" s="29">
        <v>499</v>
      </c>
      <c r="V19" s="29">
        <v>1800</v>
      </c>
      <c r="W19" s="29">
        <v>360</v>
      </c>
      <c r="X19" s="29">
        <v>420</v>
      </c>
      <c r="Y19" s="29">
        <v>6000</v>
      </c>
      <c r="Z19" s="29">
        <v>799</v>
      </c>
      <c r="AA19" s="29">
        <v>500</v>
      </c>
      <c r="AB19" s="29">
        <v>70466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F4FD5-B2B8-46AB-BBC9-D4AC91071142}">
  <sheetPr codeName="Sheet5"/>
  <dimension ref="A3:B8"/>
  <sheetViews>
    <sheetView workbookViewId="0">
      <selection activeCell="A3" sqref="A3:B8"/>
    </sheetView>
  </sheetViews>
  <sheetFormatPr defaultRowHeight="15" x14ac:dyDescent="0.25"/>
  <cols>
    <col min="1" max="1" width="13.42578125" bestFit="1" customWidth="1"/>
    <col min="2" max="2" width="14.85546875" bestFit="1" customWidth="1"/>
  </cols>
  <sheetData>
    <row r="3" spans="1:2" x14ac:dyDescent="0.25">
      <c r="A3" s="9" t="s">
        <v>20</v>
      </c>
      <c r="B3" t="s">
        <v>22</v>
      </c>
    </row>
    <row r="4" spans="1:2" x14ac:dyDescent="0.25">
      <c r="A4" s="10" t="s">
        <v>10</v>
      </c>
      <c r="B4" s="29">
        <v>53799</v>
      </c>
    </row>
    <row r="5" spans="1:2" x14ac:dyDescent="0.25">
      <c r="A5" s="10" t="s">
        <v>33</v>
      </c>
      <c r="B5" s="29">
        <v>5028</v>
      </c>
    </row>
    <row r="6" spans="1:2" x14ac:dyDescent="0.25">
      <c r="A6" s="10" t="s">
        <v>13</v>
      </c>
      <c r="B6" s="29">
        <v>5490</v>
      </c>
    </row>
    <row r="7" spans="1:2" x14ac:dyDescent="0.25">
      <c r="A7" s="10" t="s">
        <v>12</v>
      </c>
      <c r="B7" s="29">
        <v>6149</v>
      </c>
    </row>
    <row r="8" spans="1:2" x14ac:dyDescent="0.25">
      <c r="A8" s="10" t="s">
        <v>21</v>
      </c>
      <c r="B8" s="29">
        <v>70466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B07E3-7B65-420C-9A0C-C31C7A254BAA}">
  <sheetPr codeName="Sheet2"/>
  <dimension ref="A1:G91"/>
  <sheetViews>
    <sheetView topLeftCell="A15" workbookViewId="0">
      <selection activeCell="A31" sqref="A31:F31"/>
    </sheetView>
  </sheetViews>
  <sheetFormatPr defaultColWidth="22.28515625" defaultRowHeight="15" x14ac:dyDescent="0.25"/>
  <sheetData>
    <row r="1" spans="1:7" x14ac:dyDescent="0.25">
      <c r="A1" s="3" t="s">
        <v>1</v>
      </c>
      <c r="B1" s="3" t="s">
        <v>2</v>
      </c>
      <c r="C1" s="3" t="s">
        <v>3</v>
      </c>
      <c r="D1" s="3" t="s">
        <v>4</v>
      </c>
      <c r="E1" s="5" t="s">
        <v>5</v>
      </c>
      <c r="F1" s="3" t="s">
        <v>6</v>
      </c>
      <c r="G1" s="3" t="s">
        <v>7</v>
      </c>
    </row>
    <row r="2" spans="1:7" x14ac:dyDescent="0.25">
      <c r="A2" s="6">
        <v>45658</v>
      </c>
      <c r="B2" s="7" t="s">
        <v>8</v>
      </c>
      <c r="C2" s="7" t="s">
        <v>9</v>
      </c>
      <c r="D2" s="7" t="s">
        <v>27</v>
      </c>
      <c r="E2" s="7">
        <v>45000</v>
      </c>
      <c r="F2" s="7" t="s">
        <v>10</v>
      </c>
      <c r="G2" s="7" t="s">
        <v>28</v>
      </c>
    </row>
    <row r="3" spans="1:7" x14ac:dyDescent="0.25">
      <c r="A3" s="6">
        <v>45659</v>
      </c>
      <c r="B3" s="7" t="s">
        <v>11</v>
      </c>
      <c r="C3" s="7" t="s">
        <v>26</v>
      </c>
      <c r="D3" s="7" t="s">
        <v>29</v>
      </c>
      <c r="E3" s="7">
        <v>2300</v>
      </c>
      <c r="F3" s="7" t="s">
        <v>12</v>
      </c>
      <c r="G3" s="7" t="s">
        <v>30</v>
      </c>
    </row>
    <row r="4" spans="1:7" x14ac:dyDescent="0.25">
      <c r="A4" s="6">
        <v>45660</v>
      </c>
      <c r="B4" s="7" t="s">
        <v>11</v>
      </c>
      <c r="C4" s="7" t="s">
        <v>31</v>
      </c>
      <c r="D4" s="7" t="s">
        <v>32</v>
      </c>
      <c r="E4" s="7">
        <v>250</v>
      </c>
      <c r="F4" s="7" t="s">
        <v>33</v>
      </c>
      <c r="G4" s="7" t="s">
        <v>34</v>
      </c>
    </row>
    <row r="5" spans="1:7" x14ac:dyDescent="0.25">
      <c r="A5" s="6">
        <v>45661</v>
      </c>
      <c r="B5" s="7" t="s">
        <v>11</v>
      </c>
      <c r="C5" s="7" t="s">
        <v>14</v>
      </c>
      <c r="D5" s="7" t="s">
        <v>35</v>
      </c>
      <c r="E5" s="4">
        <v>499</v>
      </c>
      <c r="F5" s="7" t="s">
        <v>33</v>
      </c>
      <c r="G5" s="7" t="s">
        <v>36</v>
      </c>
    </row>
    <row r="6" spans="1:7" x14ac:dyDescent="0.25">
      <c r="A6" s="6">
        <v>45662</v>
      </c>
      <c r="B6" s="7" t="s">
        <v>11</v>
      </c>
      <c r="C6" s="7" t="s">
        <v>15</v>
      </c>
      <c r="D6" s="7" t="s">
        <v>37</v>
      </c>
      <c r="E6" s="4">
        <v>1800</v>
      </c>
      <c r="F6" s="7" t="s">
        <v>10</v>
      </c>
      <c r="G6" s="7" t="s">
        <v>38</v>
      </c>
    </row>
    <row r="7" spans="1:7" x14ac:dyDescent="0.25">
      <c r="A7" s="6">
        <v>45663</v>
      </c>
      <c r="B7" s="7" t="s">
        <v>11</v>
      </c>
      <c r="C7" s="7" t="s">
        <v>26</v>
      </c>
      <c r="D7" s="7" t="s">
        <v>39</v>
      </c>
      <c r="E7" s="4">
        <v>360</v>
      </c>
      <c r="F7" s="7" t="s">
        <v>13</v>
      </c>
      <c r="G7" s="7" t="s">
        <v>40</v>
      </c>
    </row>
    <row r="8" spans="1:7" x14ac:dyDescent="0.25">
      <c r="A8" s="6">
        <v>45664</v>
      </c>
      <c r="B8" s="7" t="s">
        <v>11</v>
      </c>
      <c r="C8" s="7" t="s">
        <v>16</v>
      </c>
      <c r="D8" s="7" t="s">
        <v>41</v>
      </c>
      <c r="E8" s="4">
        <v>420</v>
      </c>
      <c r="F8" s="7" t="s">
        <v>13</v>
      </c>
      <c r="G8" s="7" t="s">
        <v>42</v>
      </c>
    </row>
    <row r="9" spans="1:7" x14ac:dyDescent="0.25">
      <c r="A9" s="6">
        <v>45665</v>
      </c>
      <c r="B9" s="7" t="s">
        <v>8</v>
      </c>
      <c r="C9" s="7" t="s">
        <v>43</v>
      </c>
      <c r="D9" s="7" t="s">
        <v>44</v>
      </c>
      <c r="E9" s="4">
        <v>6000</v>
      </c>
      <c r="F9" s="7" t="s">
        <v>10</v>
      </c>
      <c r="G9" s="7" t="s">
        <v>45</v>
      </c>
    </row>
    <row r="10" spans="1:7" x14ac:dyDescent="0.25">
      <c r="A10" s="6">
        <v>45666</v>
      </c>
      <c r="B10" s="7" t="s">
        <v>11</v>
      </c>
      <c r="C10" s="7" t="s">
        <v>17</v>
      </c>
      <c r="D10" s="7" t="s">
        <v>46</v>
      </c>
      <c r="E10" s="4">
        <v>799</v>
      </c>
      <c r="F10" s="7" t="s">
        <v>33</v>
      </c>
      <c r="G10" s="7" t="s">
        <v>47</v>
      </c>
    </row>
    <row r="11" spans="1:7" x14ac:dyDescent="0.25">
      <c r="A11" s="6">
        <v>45667</v>
      </c>
      <c r="B11" s="7" t="s">
        <v>11</v>
      </c>
      <c r="C11" s="7" t="s">
        <v>31</v>
      </c>
      <c r="D11" s="7" t="s">
        <v>48</v>
      </c>
      <c r="E11" s="4">
        <v>1000</v>
      </c>
      <c r="F11" s="7" t="s">
        <v>13</v>
      </c>
      <c r="G11" s="7" t="s">
        <v>49</v>
      </c>
    </row>
    <row r="12" spans="1:7" x14ac:dyDescent="0.25">
      <c r="A12" s="6">
        <v>45668</v>
      </c>
      <c r="B12" s="7" t="s">
        <v>11</v>
      </c>
      <c r="C12" s="7" t="s">
        <v>50</v>
      </c>
      <c r="D12" s="7" t="s">
        <v>51</v>
      </c>
      <c r="E12" s="4">
        <v>249</v>
      </c>
      <c r="F12" s="7" t="s">
        <v>12</v>
      </c>
      <c r="G12" s="7" t="s">
        <v>52</v>
      </c>
    </row>
    <row r="13" spans="1:7" x14ac:dyDescent="0.25">
      <c r="A13" s="6">
        <v>45669</v>
      </c>
      <c r="B13" s="7" t="s">
        <v>11</v>
      </c>
      <c r="C13" s="7" t="s">
        <v>26</v>
      </c>
      <c r="D13" s="7" t="s">
        <v>53</v>
      </c>
      <c r="E13" s="4">
        <v>780</v>
      </c>
      <c r="F13" s="7" t="s">
        <v>33</v>
      </c>
      <c r="G13" s="7" t="s">
        <v>54</v>
      </c>
    </row>
    <row r="14" spans="1:7" x14ac:dyDescent="0.25">
      <c r="A14" s="6">
        <v>45670</v>
      </c>
      <c r="B14" s="7" t="s">
        <v>8</v>
      </c>
      <c r="C14" s="7" t="s">
        <v>55</v>
      </c>
      <c r="D14" s="7" t="s">
        <v>56</v>
      </c>
      <c r="E14" s="4">
        <v>120</v>
      </c>
      <c r="F14" s="7" t="s">
        <v>33</v>
      </c>
      <c r="G14" s="7" t="s">
        <v>57</v>
      </c>
    </row>
    <row r="15" spans="1:7" ht="30" x14ac:dyDescent="0.25">
      <c r="A15" s="6">
        <v>45671</v>
      </c>
      <c r="B15" s="7" t="s">
        <v>11</v>
      </c>
      <c r="C15" s="7" t="s">
        <v>58</v>
      </c>
      <c r="D15" s="7" t="s">
        <v>59</v>
      </c>
      <c r="E15" s="4">
        <v>1500</v>
      </c>
      <c r="F15" s="7" t="s">
        <v>12</v>
      </c>
      <c r="G15" s="7" t="s">
        <v>60</v>
      </c>
    </row>
    <row r="16" spans="1:7" x14ac:dyDescent="0.25">
      <c r="A16" s="6">
        <v>45672</v>
      </c>
      <c r="B16" s="7" t="s">
        <v>11</v>
      </c>
      <c r="C16" s="7" t="s">
        <v>61</v>
      </c>
      <c r="D16" s="7" t="s">
        <v>62</v>
      </c>
      <c r="E16" s="4">
        <v>350</v>
      </c>
      <c r="F16" s="7" t="s">
        <v>12</v>
      </c>
      <c r="G16" s="7" t="s">
        <v>63</v>
      </c>
    </row>
    <row r="17" spans="1:7" x14ac:dyDescent="0.25">
      <c r="A17" s="6">
        <v>45673</v>
      </c>
      <c r="B17" s="7" t="s">
        <v>11</v>
      </c>
      <c r="C17" s="7" t="s">
        <v>64</v>
      </c>
      <c r="D17" s="7" t="s">
        <v>65</v>
      </c>
      <c r="E17" s="4">
        <v>900</v>
      </c>
      <c r="F17" s="7" t="s">
        <v>33</v>
      </c>
      <c r="G17" s="7" t="s">
        <v>66</v>
      </c>
    </row>
    <row r="18" spans="1:7" x14ac:dyDescent="0.25">
      <c r="A18" s="6">
        <v>45674</v>
      </c>
      <c r="B18" s="7" t="s">
        <v>11</v>
      </c>
      <c r="C18" s="7" t="s">
        <v>26</v>
      </c>
      <c r="D18" s="7" t="s">
        <v>67</v>
      </c>
      <c r="E18" s="4">
        <v>280</v>
      </c>
      <c r="F18" s="7" t="s">
        <v>33</v>
      </c>
      <c r="G18" s="7" t="s">
        <v>68</v>
      </c>
    </row>
    <row r="19" spans="1:7" x14ac:dyDescent="0.25">
      <c r="A19" s="6">
        <v>45675</v>
      </c>
      <c r="B19" s="7" t="s">
        <v>11</v>
      </c>
      <c r="C19" s="7" t="s">
        <v>14</v>
      </c>
      <c r="D19" s="7" t="s">
        <v>69</v>
      </c>
      <c r="E19" s="4">
        <v>450</v>
      </c>
      <c r="F19" s="7" t="s">
        <v>12</v>
      </c>
      <c r="G19" s="7" t="s">
        <v>70</v>
      </c>
    </row>
    <row r="20" spans="1:7" x14ac:dyDescent="0.25">
      <c r="A20" s="6">
        <v>45676</v>
      </c>
      <c r="B20" s="7" t="s">
        <v>11</v>
      </c>
      <c r="C20" s="7" t="s">
        <v>15</v>
      </c>
      <c r="D20" s="7" t="s">
        <v>71</v>
      </c>
      <c r="E20" s="4">
        <v>999</v>
      </c>
      <c r="F20" s="7" t="s">
        <v>10</v>
      </c>
      <c r="G20" s="7" t="s">
        <v>72</v>
      </c>
    </row>
    <row r="21" spans="1:7" x14ac:dyDescent="0.25">
      <c r="A21" s="6">
        <v>45677</v>
      </c>
      <c r="B21" s="7" t="s">
        <v>11</v>
      </c>
      <c r="C21" s="7" t="s">
        <v>16</v>
      </c>
      <c r="D21" s="7" t="s">
        <v>73</v>
      </c>
      <c r="E21" s="4">
        <v>2000</v>
      </c>
      <c r="F21" s="7" t="s">
        <v>13</v>
      </c>
      <c r="G21" s="7" t="s">
        <v>74</v>
      </c>
    </row>
    <row r="22" spans="1:7" s="8" customFormat="1" x14ac:dyDescent="0.25">
      <c r="A22" s="6">
        <v>45678</v>
      </c>
      <c r="B22" s="7" t="s">
        <v>8</v>
      </c>
      <c r="C22" s="7" t="s">
        <v>75</v>
      </c>
      <c r="D22" s="7" t="s">
        <v>76</v>
      </c>
      <c r="E22" s="4">
        <v>1000</v>
      </c>
      <c r="F22" s="7" t="s">
        <v>13</v>
      </c>
      <c r="G22" s="7" t="s">
        <v>77</v>
      </c>
    </row>
    <row r="23" spans="1:7" x14ac:dyDescent="0.25">
      <c r="A23" s="6">
        <v>45679</v>
      </c>
      <c r="B23" s="7" t="s">
        <v>11</v>
      </c>
      <c r="C23" s="7" t="s">
        <v>17</v>
      </c>
      <c r="D23" s="7" t="s">
        <v>78</v>
      </c>
      <c r="E23" s="4">
        <v>1400</v>
      </c>
      <c r="F23" s="7" t="s">
        <v>33</v>
      </c>
      <c r="G23" s="7" t="s">
        <v>79</v>
      </c>
    </row>
    <row r="24" spans="1:7" x14ac:dyDescent="0.25">
      <c r="A24" s="6">
        <v>45680</v>
      </c>
      <c r="B24" s="7" t="s">
        <v>11</v>
      </c>
      <c r="C24" s="7" t="s">
        <v>26</v>
      </c>
      <c r="D24" s="7" t="s">
        <v>80</v>
      </c>
      <c r="E24" s="4">
        <v>110</v>
      </c>
      <c r="F24" s="7" t="s">
        <v>13</v>
      </c>
      <c r="G24" s="7" t="s">
        <v>81</v>
      </c>
    </row>
    <row r="25" spans="1:7" x14ac:dyDescent="0.25">
      <c r="A25" s="6">
        <v>45681</v>
      </c>
      <c r="B25" s="7" t="s">
        <v>11</v>
      </c>
      <c r="C25" s="7" t="s">
        <v>31</v>
      </c>
      <c r="D25" s="7" t="s">
        <v>82</v>
      </c>
      <c r="E25" s="4">
        <v>600</v>
      </c>
      <c r="F25" s="7" t="s">
        <v>13</v>
      </c>
      <c r="G25" s="7" t="s">
        <v>83</v>
      </c>
    </row>
    <row r="26" spans="1:7" x14ac:dyDescent="0.25">
      <c r="A26" s="6">
        <v>45682</v>
      </c>
      <c r="B26" s="7" t="s">
        <v>11</v>
      </c>
      <c r="C26" s="7" t="s">
        <v>50</v>
      </c>
      <c r="D26" s="7" t="s">
        <v>84</v>
      </c>
      <c r="E26" s="4">
        <v>300</v>
      </c>
      <c r="F26" s="7" t="s">
        <v>12</v>
      </c>
      <c r="G26" s="7" t="s">
        <v>38</v>
      </c>
    </row>
    <row r="27" spans="1:7" x14ac:dyDescent="0.25">
      <c r="A27" s="6">
        <v>45682</v>
      </c>
      <c r="B27" s="7" t="s">
        <v>11</v>
      </c>
      <c r="C27" s="7" t="s">
        <v>50</v>
      </c>
      <c r="D27" s="7" t="s">
        <v>84</v>
      </c>
      <c r="E27" s="4">
        <v>500</v>
      </c>
      <c r="F27" s="7" t="s">
        <v>12</v>
      </c>
      <c r="G27" s="7" t="s">
        <v>83</v>
      </c>
    </row>
    <row r="28" spans="1:7" x14ac:dyDescent="0.25">
      <c r="A28" s="24"/>
      <c r="B28" s="25"/>
      <c r="C28" s="26"/>
      <c r="D28" s="7"/>
      <c r="E28" s="4"/>
      <c r="F28" s="7"/>
      <c r="G28" s="7"/>
    </row>
    <row r="29" spans="1:7" x14ac:dyDescent="0.25">
      <c r="A29" s="6"/>
      <c r="B29" s="7"/>
      <c r="C29" s="16"/>
      <c r="D29" s="7"/>
      <c r="E29" s="4"/>
      <c r="F29" s="7"/>
      <c r="G29" s="7"/>
    </row>
    <row r="30" spans="1:7" x14ac:dyDescent="0.25">
      <c r="A30" s="6"/>
      <c r="B30" s="7"/>
      <c r="C30" s="16"/>
      <c r="D30" s="7"/>
      <c r="E30" s="4"/>
      <c r="F30" s="7"/>
      <c r="G30" s="7"/>
    </row>
    <row r="31" spans="1:7" x14ac:dyDescent="0.25">
      <c r="A31" s="6" t="s">
        <v>89</v>
      </c>
      <c r="B31" s="7" t="s">
        <v>11</v>
      </c>
      <c r="C31" s="7" t="s">
        <v>26</v>
      </c>
      <c r="D31" s="7"/>
      <c r="E31" s="4">
        <v>500</v>
      </c>
      <c r="F31" s="7" t="s">
        <v>12</v>
      </c>
      <c r="G31" s="7"/>
    </row>
    <row r="32" spans="1:7" x14ac:dyDescent="0.25">
      <c r="A32" s="6"/>
      <c r="B32" s="7"/>
      <c r="C32" s="7"/>
      <c r="D32" s="7"/>
      <c r="E32" s="4"/>
      <c r="F32" s="7"/>
      <c r="G32" s="7"/>
    </row>
    <row r="33" spans="1:7" x14ac:dyDescent="0.25">
      <c r="A33" s="6"/>
      <c r="B33" s="7">
        <f>COUNT(A2:A31)</f>
        <v>26</v>
      </c>
      <c r="C33" s="7"/>
      <c r="D33" s="7"/>
      <c r="E33" s="4"/>
      <c r="F33" s="7"/>
      <c r="G33" s="7"/>
    </row>
    <row r="34" spans="1:7" x14ac:dyDescent="0.25">
      <c r="A34" s="6"/>
      <c r="B34" s="7"/>
      <c r="C34" s="7"/>
      <c r="D34" s="7"/>
      <c r="E34" s="4"/>
      <c r="F34" s="7"/>
      <c r="G34" s="7"/>
    </row>
    <row r="35" spans="1:7" x14ac:dyDescent="0.25">
      <c r="A35" s="6"/>
      <c r="B35" s="7"/>
      <c r="C35" s="7"/>
      <c r="D35" s="7"/>
      <c r="E35" s="4"/>
      <c r="F35" s="7"/>
      <c r="G35" s="7"/>
    </row>
    <row r="36" spans="1:7" x14ac:dyDescent="0.25">
      <c r="A36" s="6"/>
      <c r="B36" s="7"/>
      <c r="C36" s="7"/>
      <c r="D36" s="7"/>
      <c r="E36" s="4"/>
      <c r="F36" s="7"/>
      <c r="G36" s="7"/>
    </row>
    <row r="37" spans="1:7" x14ac:dyDescent="0.25">
      <c r="A37" s="6"/>
      <c r="B37" s="7"/>
      <c r="C37" s="7"/>
      <c r="D37" s="7"/>
      <c r="E37" s="4"/>
      <c r="F37" s="7"/>
      <c r="G37" s="7"/>
    </row>
    <row r="38" spans="1:7" x14ac:dyDescent="0.25">
      <c r="A38" s="6"/>
      <c r="B38" s="7"/>
      <c r="C38" s="7"/>
      <c r="D38" s="7"/>
      <c r="E38" s="4"/>
      <c r="F38" s="7"/>
      <c r="G38" s="7"/>
    </row>
    <row r="39" spans="1:7" x14ac:dyDescent="0.25">
      <c r="A39" s="6"/>
      <c r="B39" s="7"/>
      <c r="C39" s="7"/>
      <c r="D39" s="7"/>
      <c r="E39" s="4"/>
      <c r="F39" s="7"/>
      <c r="G39" s="7"/>
    </row>
    <row r="40" spans="1:7" x14ac:dyDescent="0.25">
      <c r="A40" s="6"/>
      <c r="B40" s="7"/>
      <c r="C40" s="7"/>
      <c r="D40" s="7"/>
      <c r="E40" s="4"/>
      <c r="F40" s="7"/>
      <c r="G40" s="7"/>
    </row>
    <row r="41" spans="1:7" x14ac:dyDescent="0.25">
      <c r="A41" s="6"/>
      <c r="B41" s="7"/>
      <c r="C41" s="7"/>
      <c r="D41" s="7"/>
      <c r="E41" s="4"/>
      <c r="F41" s="7"/>
      <c r="G41" s="7"/>
    </row>
    <row r="42" spans="1:7" x14ac:dyDescent="0.25">
      <c r="A42" s="6"/>
      <c r="B42" s="7"/>
      <c r="C42" s="7"/>
      <c r="D42" s="7"/>
      <c r="E42" s="4"/>
      <c r="F42" s="7"/>
      <c r="G42" s="7"/>
    </row>
    <row r="43" spans="1:7" x14ac:dyDescent="0.25">
      <c r="A43" s="6"/>
      <c r="B43" s="7"/>
      <c r="C43" s="7"/>
      <c r="D43" s="7"/>
      <c r="E43" s="4"/>
      <c r="F43" s="7"/>
      <c r="G43" s="7"/>
    </row>
    <row r="44" spans="1:7" x14ac:dyDescent="0.25">
      <c r="A44" s="6"/>
      <c r="B44" s="7"/>
      <c r="C44" s="7"/>
      <c r="D44" s="7"/>
      <c r="E44" s="4"/>
      <c r="F44" s="7"/>
      <c r="G44" s="7"/>
    </row>
    <row r="45" spans="1:7" x14ac:dyDescent="0.25">
      <c r="A45" s="6"/>
      <c r="B45" s="7"/>
      <c r="C45" s="7"/>
      <c r="D45" s="7"/>
      <c r="E45" s="4"/>
      <c r="F45" s="7"/>
      <c r="G45" s="7"/>
    </row>
    <row r="46" spans="1:7" x14ac:dyDescent="0.25">
      <c r="A46" s="6"/>
      <c r="B46" s="7"/>
      <c r="C46" s="7"/>
      <c r="D46" s="7"/>
      <c r="E46" s="4"/>
      <c r="F46" s="7"/>
      <c r="G46" s="7"/>
    </row>
    <row r="47" spans="1:7" x14ac:dyDescent="0.25">
      <c r="A47" s="6"/>
      <c r="B47" s="7"/>
      <c r="C47" s="7"/>
      <c r="D47" s="7"/>
      <c r="E47" s="4"/>
      <c r="F47" s="7"/>
      <c r="G47" s="7"/>
    </row>
    <row r="48" spans="1:7" x14ac:dyDescent="0.25">
      <c r="A48" s="6"/>
      <c r="B48" s="7"/>
      <c r="C48" s="7"/>
      <c r="D48" s="7"/>
      <c r="E48" s="4"/>
      <c r="F48" s="7"/>
      <c r="G48" s="7"/>
    </row>
    <row r="49" spans="1:7" x14ac:dyDescent="0.25">
      <c r="A49" s="6"/>
      <c r="B49" s="7"/>
      <c r="C49" s="7"/>
      <c r="D49" s="7"/>
      <c r="E49" s="4"/>
      <c r="F49" s="7"/>
      <c r="G49" s="7"/>
    </row>
    <row r="50" spans="1:7" x14ac:dyDescent="0.25">
      <c r="A50" s="6"/>
      <c r="B50" s="7"/>
      <c r="C50" s="7"/>
      <c r="D50" s="7"/>
      <c r="E50" s="4"/>
      <c r="F50" s="7"/>
      <c r="G50" s="7"/>
    </row>
    <row r="51" spans="1:7" x14ac:dyDescent="0.25">
      <c r="A51" s="6"/>
      <c r="B51" s="7"/>
      <c r="C51" s="7"/>
      <c r="D51" s="7"/>
      <c r="E51" s="4"/>
      <c r="F51" s="7"/>
      <c r="G51" s="7"/>
    </row>
    <row r="52" spans="1:7" x14ac:dyDescent="0.25">
      <c r="A52" s="6"/>
      <c r="B52" s="7"/>
      <c r="C52" s="7"/>
      <c r="D52" s="7"/>
      <c r="E52" s="4"/>
      <c r="F52" s="7"/>
      <c r="G52" s="7"/>
    </row>
    <row r="53" spans="1:7" x14ac:dyDescent="0.25">
      <c r="A53" s="6"/>
      <c r="B53" s="7"/>
      <c r="C53" s="7"/>
      <c r="D53" s="7"/>
      <c r="E53" s="4"/>
      <c r="F53" s="7"/>
      <c r="G53" s="7"/>
    </row>
    <row r="54" spans="1:7" x14ac:dyDescent="0.25">
      <c r="A54" s="6"/>
      <c r="B54" s="7"/>
      <c r="C54" s="7"/>
      <c r="D54" s="7"/>
      <c r="E54" s="4"/>
      <c r="F54" s="7"/>
      <c r="G54" s="7"/>
    </row>
    <row r="55" spans="1:7" x14ac:dyDescent="0.25">
      <c r="A55" s="6"/>
      <c r="B55" s="7"/>
      <c r="C55" s="7"/>
      <c r="D55" s="7"/>
      <c r="E55" s="4"/>
      <c r="F55" s="7"/>
      <c r="G55" s="7"/>
    </row>
    <row r="56" spans="1:7" x14ac:dyDescent="0.25">
      <c r="A56" s="6"/>
      <c r="B56" s="7"/>
      <c r="C56" s="7"/>
      <c r="D56" s="7"/>
      <c r="E56" s="4"/>
      <c r="F56" s="7"/>
      <c r="G56" s="7"/>
    </row>
    <row r="57" spans="1:7" x14ac:dyDescent="0.25">
      <c r="A57" s="6"/>
      <c r="B57" s="7"/>
      <c r="C57" s="7"/>
      <c r="D57" s="7"/>
      <c r="E57" s="4"/>
      <c r="F57" s="7"/>
      <c r="G57" s="7"/>
    </row>
    <row r="58" spans="1:7" x14ac:dyDescent="0.25">
      <c r="A58" s="6"/>
      <c r="B58" s="7"/>
      <c r="C58" s="7"/>
      <c r="D58" s="7"/>
      <c r="E58" s="4"/>
      <c r="F58" s="7"/>
      <c r="G58" s="7"/>
    </row>
    <row r="59" spans="1:7" x14ac:dyDescent="0.25">
      <c r="A59" s="6"/>
      <c r="B59" s="7"/>
      <c r="C59" s="7"/>
      <c r="D59" s="7"/>
      <c r="E59" s="4"/>
      <c r="F59" s="7"/>
      <c r="G59" s="7"/>
    </row>
    <row r="60" spans="1:7" x14ac:dyDescent="0.25">
      <c r="A60" s="6"/>
      <c r="B60" s="7"/>
      <c r="C60" s="7"/>
      <c r="D60" s="7"/>
      <c r="E60" s="4"/>
      <c r="F60" s="7"/>
      <c r="G60" s="7"/>
    </row>
    <row r="61" spans="1:7" x14ac:dyDescent="0.25">
      <c r="A61" s="6"/>
      <c r="B61" s="7"/>
      <c r="C61" s="7"/>
      <c r="D61" s="7"/>
      <c r="E61" s="4"/>
      <c r="F61" s="7"/>
      <c r="G61" s="7"/>
    </row>
    <row r="62" spans="1:7" x14ac:dyDescent="0.25">
      <c r="A62" s="6"/>
      <c r="B62" s="7"/>
      <c r="C62" s="7"/>
      <c r="D62" s="7"/>
      <c r="E62" s="4"/>
      <c r="F62" s="7"/>
      <c r="G62" s="7"/>
    </row>
    <row r="63" spans="1:7" x14ac:dyDescent="0.25">
      <c r="A63" s="6"/>
      <c r="B63" s="7"/>
      <c r="C63" s="7"/>
      <c r="D63" s="7"/>
      <c r="E63" s="4"/>
      <c r="F63" s="7"/>
      <c r="G63" s="7"/>
    </row>
    <row r="64" spans="1:7" x14ac:dyDescent="0.25">
      <c r="A64" s="6"/>
      <c r="B64" s="7"/>
      <c r="C64" s="7"/>
      <c r="D64" s="7"/>
      <c r="E64" s="4"/>
      <c r="F64" s="7"/>
      <c r="G64" s="7"/>
    </row>
    <row r="65" spans="1:7" x14ac:dyDescent="0.25">
      <c r="A65" s="6"/>
      <c r="B65" s="7"/>
      <c r="C65" s="7"/>
      <c r="D65" s="7"/>
      <c r="E65" s="4"/>
      <c r="F65" s="7"/>
      <c r="G65" s="7"/>
    </row>
    <row r="66" spans="1:7" x14ac:dyDescent="0.25">
      <c r="A66" s="6"/>
      <c r="B66" s="7"/>
      <c r="C66" s="7"/>
      <c r="D66" s="7"/>
      <c r="E66" s="4"/>
      <c r="F66" s="7"/>
      <c r="G66" s="7"/>
    </row>
    <row r="67" spans="1:7" x14ac:dyDescent="0.25">
      <c r="A67" s="6"/>
      <c r="B67" s="7"/>
      <c r="C67" s="7"/>
      <c r="D67" s="7"/>
      <c r="E67" s="4"/>
      <c r="F67" s="7"/>
      <c r="G67" s="7"/>
    </row>
    <row r="68" spans="1:7" x14ac:dyDescent="0.25">
      <c r="A68" s="6"/>
      <c r="B68" s="7"/>
      <c r="C68" s="7"/>
      <c r="D68" s="7"/>
      <c r="E68" s="4"/>
      <c r="F68" s="7"/>
      <c r="G68" s="7"/>
    </row>
    <row r="69" spans="1:7" x14ac:dyDescent="0.25">
      <c r="A69" s="6"/>
      <c r="B69" s="7"/>
      <c r="C69" s="7"/>
      <c r="D69" s="7"/>
      <c r="E69" s="4"/>
      <c r="F69" s="7"/>
      <c r="G69" s="7"/>
    </row>
    <row r="70" spans="1:7" x14ac:dyDescent="0.25">
      <c r="A70" s="6"/>
      <c r="B70" s="7"/>
      <c r="C70" s="7"/>
      <c r="D70" s="7"/>
      <c r="E70" s="4"/>
      <c r="F70" s="7"/>
      <c r="G70" s="7"/>
    </row>
    <row r="71" spans="1:7" x14ac:dyDescent="0.25">
      <c r="A71" s="6"/>
      <c r="B71" s="7"/>
      <c r="C71" s="7"/>
      <c r="D71" s="7"/>
      <c r="E71" s="4"/>
      <c r="F71" s="7"/>
      <c r="G71" s="7"/>
    </row>
    <row r="72" spans="1:7" x14ac:dyDescent="0.25">
      <c r="A72" s="6"/>
      <c r="B72" s="7"/>
      <c r="C72" s="7"/>
      <c r="D72" s="7"/>
      <c r="E72" s="4"/>
      <c r="F72" s="7"/>
      <c r="G72" s="7"/>
    </row>
    <row r="73" spans="1:7" x14ac:dyDescent="0.25">
      <c r="A73" s="6"/>
      <c r="B73" s="7"/>
      <c r="C73" s="7"/>
      <c r="D73" s="7"/>
      <c r="E73" s="4"/>
      <c r="F73" s="7"/>
      <c r="G73" s="7"/>
    </row>
    <row r="74" spans="1:7" x14ac:dyDescent="0.25">
      <c r="A74" s="6"/>
      <c r="B74" s="7"/>
      <c r="C74" s="7"/>
      <c r="D74" s="7"/>
      <c r="E74" s="4"/>
      <c r="F74" s="7"/>
      <c r="G74" s="7"/>
    </row>
    <row r="75" spans="1:7" x14ac:dyDescent="0.25">
      <c r="A75" s="6"/>
      <c r="B75" s="7"/>
      <c r="C75" s="7"/>
      <c r="D75" s="7"/>
      <c r="E75" s="4"/>
      <c r="F75" s="7"/>
      <c r="G75" s="7"/>
    </row>
    <row r="76" spans="1:7" x14ac:dyDescent="0.25">
      <c r="A76" s="6"/>
      <c r="B76" s="7"/>
      <c r="C76" s="7"/>
      <c r="D76" s="7"/>
      <c r="E76" s="4"/>
      <c r="F76" s="7"/>
      <c r="G76" s="7"/>
    </row>
    <row r="77" spans="1:7" x14ac:dyDescent="0.25">
      <c r="A77" s="6"/>
      <c r="B77" s="7"/>
      <c r="C77" s="7"/>
      <c r="D77" s="7"/>
      <c r="E77" s="4"/>
      <c r="F77" s="7"/>
      <c r="G77" s="7"/>
    </row>
    <row r="78" spans="1:7" x14ac:dyDescent="0.25">
      <c r="A78" s="6"/>
      <c r="B78" s="7"/>
      <c r="C78" s="7"/>
      <c r="D78" s="7"/>
      <c r="E78" s="4"/>
      <c r="F78" s="7"/>
      <c r="G78" s="7"/>
    </row>
    <row r="79" spans="1:7" x14ac:dyDescent="0.25">
      <c r="A79" s="6"/>
      <c r="B79" s="7"/>
      <c r="C79" s="7"/>
      <c r="D79" s="7"/>
      <c r="E79" s="4"/>
      <c r="F79" s="7"/>
      <c r="G79" s="7"/>
    </row>
    <row r="80" spans="1:7" x14ac:dyDescent="0.25">
      <c r="A80" s="6"/>
      <c r="B80" s="7"/>
      <c r="C80" s="7"/>
      <c r="D80" s="7"/>
      <c r="E80" s="4"/>
      <c r="F80" s="7"/>
      <c r="G80" s="7"/>
    </row>
    <row r="81" spans="1:7" x14ac:dyDescent="0.25">
      <c r="A81" s="6"/>
      <c r="B81" s="7"/>
      <c r="C81" s="7"/>
      <c r="D81" s="7"/>
      <c r="E81" s="4"/>
      <c r="F81" s="7"/>
      <c r="G81" s="7"/>
    </row>
    <row r="82" spans="1:7" x14ac:dyDescent="0.25">
      <c r="A82" s="6"/>
      <c r="B82" s="7"/>
      <c r="C82" s="7"/>
      <c r="D82" s="7"/>
      <c r="E82" s="4"/>
      <c r="F82" s="7"/>
      <c r="G82" s="7"/>
    </row>
    <row r="83" spans="1:7" x14ac:dyDescent="0.25">
      <c r="A83" s="6"/>
      <c r="B83" s="7"/>
      <c r="C83" s="7"/>
      <c r="D83" s="7"/>
      <c r="E83" s="4"/>
      <c r="F83" s="7"/>
      <c r="G83" s="7"/>
    </row>
    <row r="84" spans="1:7" x14ac:dyDescent="0.25">
      <c r="A84" s="6"/>
      <c r="B84" s="7"/>
      <c r="C84" s="7"/>
      <c r="D84" s="7"/>
      <c r="E84" s="4"/>
      <c r="F84" s="7"/>
      <c r="G84" s="7"/>
    </row>
    <row r="85" spans="1:7" x14ac:dyDescent="0.25">
      <c r="A85" s="6"/>
      <c r="B85" s="7"/>
      <c r="C85" s="7"/>
      <c r="D85" s="7"/>
      <c r="E85" s="4"/>
      <c r="F85" s="7"/>
      <c r="G85" s="7"/>
    </row>
    <row r="86" spans="1:7" x14ac:dyDescent="0.25">
      <c r="A86" s="6"/>
      <c r="B86" s="7"/>
      <c r="C86" s="7"/>
      <c r="D86" s="7"/>
      <c r="E86" s="4"/>
      <c r="F86" s="7"/>
      <c r="G86" s="7"/>
    </row>
    <row r="87" spans="1:7" x14ac:dyDescent="0.25">
      <c r="A87" s="6"/>
      <c r="B87" s="7"/>
      <c r="C87" s="7"/>
      <c r="D87" s="7"/>
      <c r="E87" s="4"/>
      <c r="F87" s="7"/>
      <c r="G87" s="7"/>
    </row>
    <row r="88" spans="1:7" x14ac:dyDescent="0.25">
      <c r="A88" s="6"/>
      <c r="B88" s="7"/>
      <c r="C88" s="7"/>
      <c r="D88" s="7"/>
      <c r="E88" s="4"/>
      <c r="F88" s="7"/>
      <c r="G88" s="7"/>
    </row>
    <row r="89" spans="1:7" x14ac:dyDescent="0.25">
      <c r="A89" s="6"/>
      <c r="B89" s="7"/>
      <c r="C89" s="7"/>
      <c r="D89" s="7"/>
      <c r="E89" s="4"/>
      <c r="F89" s="7"/>
      <c r="G89" s="7"/>
    </row>
    <row r="90" spans="1:7" x14ac:dyDescent="0.25">
      <c r="A90" s="6"/>
      <c r="B90" s="7"/>
      <c r="C90" s="7"/>
      <c r="D90" s="7"/>
      <c r="E90" s="4"/>
      <c r="F90" s="7"/>
      <c r="G90" s="7"/>
    </row>
    <row r="91" spans="1:7" x14ac:dyDescent="0.25">
      <c r="A91" s="6"/>
      <c r="B91" s="7"/>
      <c r="C91" s="7"/>
      <c r="D91" s="7"/>
      <c r="E91" s="4"/>
      <c r="F91" s="7"/>
      <c r="G91" s="7"/>
    </row>
  </sheetData>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7ECE-C51B-4EDD-901E-CEF409F4AC6E}">
  <sheetPr codeName="Sheet7"/>
  <dimension ref="A1:B7"/>
  <sheetViews>
    <sheetView workbookViewId="0">
      <selection activeCell="B22" sqref="B22"/>
    </sheetView>
  </sheetViews>
  <sheetFormatPr defaultColWidth="20.7109375" defaultRowHeight="15" x14ac:dyDescent="0.25"/>
  <sheetData>
    <row r="1" spans="1:2" x14ac:dyDescent="0.25">
      <c r="A1" t="s">
        <v>18</v>
      </c>
      <c r="B1" s="23">
        <f>SUMIFS(ExpenseTable[Amount], ExpenseTable[Type], "Income")</f>
        <v>52120</v>
      </c>
    </row>
    <row r="2" spans="1:2" x14ac:dyDescent="0.25">
      <c r="A2" t="s">
        <v>19</v>
      </c>
      <c r="B2" s="23">
        <f>SUMIFS(ExpenseTable[Amount], ExpenseTable[Type], "Expense")</f>
        <v>18346</v>
      </c>
    </row>
    <row r="3" spans="1:2" x14ac:dyDescent="0.25">
      <c r="A3" t="s">
        <v>24</v>
      </c>
      <c r="B3" s="23">
        <f>B1-B2</f>
        <v>33774</v>
      </c>
    </row>
    <row r="4" spans="1:2" x14ac:dyDescent="0.25">
      <c r="A4" t="s">
        <v>85</v>
      </c>
      <c r="B4" s="21">
        <f>B2/B5</f>
        <v>679.48148148148152</v>
      </c>
    </row>
    <row r="5" spans="1:2" x14ac:dyDescent="0.25">
      <c r="A5" t="s">
        <v>86</v>
      </c>
      <c r="B5">
        <f>COUNTA(ExpenseTable[Date])</f>
        <v>27</v>
      </c>
    </row>
    <row r="6" spans="1:2" x14ac:dyDescent="0.25">
      <c r="A6" t="s">
        <v>87</v>
      </c>
      <c r="B6" s="22" t="str" cm="1">
        <f t="array" ref="B6">INDEX(ExpenseTable[Category],
MATCH(MAX(SUMIF(ExpenseTable[Category], ExpenseTable[Category], ExpenseTable[Amount])),
SUMIF(ExpenseTable[Category], ExpenseTable[Category], ExpenseTable[Amount]),
0))</f>
        <v>Salary</v>
      </c>
    </row>
    <row r="7" spans="1:2" x14ac:dyDescent="0.25">
      <c r="A7" t="s">
        <v>88</v>
      </c>
      <c r="B7" t="str">
        <f ca="1">"Last Updated: " &amp; TEXT(NOW(),"dd-mmm-yyyy hh:mm AM/PM")</f>
        <v>Last Updated: 14-Nov-2025 05:43 PM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Spending By Category</vt:lpstr>
      <vt:lpstr>Monthly Spending Trend</vt:lpstr>
      <vt:lpstr>PAYMENT METHOD</vt:lpstr>
      <vt:lpstr>MainData</vt:lpstr>
      <vt:lpstr>Values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Krish Kumar</dc:creator>
  <cp:lastModifiedBy>Krish Kumar</cp:lastModifiedBy>
  <dcterms:created xsi:type="dcterms:W3CDTF">2025-10-30T09:20:28Z</dcterms:created>
  <dcterms:modified xsi:type="dcterms:W3CDTF">2025-11-14T12:13:50Z</dcterms:modified>
</cp:coreProperties>
</file>